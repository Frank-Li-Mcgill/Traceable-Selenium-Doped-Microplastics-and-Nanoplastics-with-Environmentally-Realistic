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4 and Figure S9\"/>
    </mc:Choice>
  </mc:AlternateContent>
  <xr:revisionPtr revIDLastSave="0" documentId="13_ncr:1_{11117BCC-C6CF-48F4-A3C0-B13CB87EA000}" xr6:coauthVersionLast="47" xr6:coauthVersionMax="47" xr10:uidLastSave="{00000000-0000-0000-0000-000000000000}"/>
  <bookViews>
    <workbookView xWindow="-120" yWindow="-120" windowWidth="29040" windowHeight="15720" firstSheet="2" activeTab="2" xr2:uid="{B08838E9-F22D-492C-B281-65BD66B5341D}"/>
  </bookViews>
  <sheets>
    <sheet name="NOTE" sheetId="3" r:id="rId1"/>
    <sheet name="Leaching test 10 ppm c-Se" sheetId="2" r:id="rId2"/>
    <sheet name="Concentration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1" l="1"/>
  <c r="Y52" i="1"/>
  <c r="S71" i="1" s="1"/>
  <c r="S83" i="1" s="1"/>
  <c r="O88" i="1"/>
  <c r="P88" i="1"/>
  <c r="P92" i="1"/>
  <c r="P89" i="1"/>
  <c r="P90" i="1"/>
  <c r="P91" i="1"/>
  <c r="P93" i="1"/>
  <c r="P94" i="1"/>
  <c r="O89" i="1"/>
  <c r="O90" i="1"/>
  <c r="O91" i="1"/>
  <c r="O92" i="1"/>
  <c r="O93" i="1"/>
  <c r="O94" i="1"/>
  <c r="V78" i="1"/>
  <c r="V79" i="1"/>
  <c r="V80" i="1"/>
  <c r="V81" i="1"/>
  <c r="V82" i="1"/>
  <c r="V83" i="1"/>
  <c r="V77" i="1"/>
  <c r="T78" i="1"/>
  <c r="T79" i="1"/>
  <c r="T80" i="1"/>
  <c r="T81" i="1"/>
  <c r="T82" i="1"/>
  <c r="T77" i="1"/>
  <c r="R78" i="1"/>
  <c r="R79" i="1"/>
  <c r="R80" i="1"/>
  <c r="R81" i="1"/>
  <c r="R82" i="1"/>
  <c r="R83" i="1"/>
  <c r="R77" i="1"/>
  <c r="P78" i="1"/>
  <c r="P79" i="1"/>
  <c r="P80" i="1"/>
  <c r="P81" i="1"/>
  <c r="P82" i="1"/>
  <c r="P83" i="1"/>
  <c r="P77" i="1"/>
  <c r="Q78" i="1"/>
  <c r="Q79" i="1"/>
  <c r="Q80" i="1"/>
  <c r="Q81" i="1"/>
  <c r="Q82" i="1"/>
  <c r="Q83" i="1"/>
  <c r="S78" i="1"/>
  <c r="S79" i="1"/>
  <c r="S80" i="1"/>
  <c r="S81" i="1"/>
  <c r="S82" i="1"/>
  <c r="U78" i="1"/>
  <c r="U79" i="1"/>
  <c r="U80" i="1"/>
  <c r="U81" i="1"/>
  <c r="U82" i="1"/>
  <c r="U83" i="1"/>
  <c r="U77" i="1"/>
  <c r="U75" i="1"/>
  <c r="V75" i="1"/>
  <c r="Q77" i="1"/>
  <c r="S77" i="1"/>
  <c r="O78" i="1"/>
  <c r="O79" i="1"/>
  <c r="O80" i="1"/>
  <c r="O81" i="1"/>
  <c r="O82" i="1"/>
  <c r="O83" i="1"/>
  <c r="O77" i="1"/>
  <c r="V65" i="1"/>
  <c r="V66" i="1"/>
  <c r="V67" i="1"/>
  <c r="V68" i="1"/>
  <c r="V69" i="1"/>
  <c r="V70" i="1"/>
  <c r="V71" i="1"/>
  <c r="T65" i="1"/>
  <c r="T66" i="1"/>
  <c r="T67" i="1"/>
  <c r="T68" i="1"/>
  <c r="T69" i="1"/>
  <c r="T70" i="1"/>
  <c r="R65" i="1"/>
  <c r="R66" i="1"/>
  <c r="R67" i="1"/>
  <c r="R68" i="1"/>
  <c r="R69" i="1"/>
  <c r="R70" i="1"/>
  <c r="R71" i="1"/>
  <c r="U71" i="1"/>
  <c r="U70" i="1"/>
  <c r="U69" i="1"/>
  <c r="U68" i="1"/>
  <c r="U67" i="1"/>
  <c r="U66" i="1"/>
  <c r="U65" i="1"/>
  <c r="S70" i="1"/>
  <c r="S69" i="1"/>
  <c r="S68" i="1"/>
  <c r="S67" i="1"/>
  <c r="S66" i="1"/>
  <c r="S65" i="1"/>
  <c r="Q71" i="1"/>
  <c r="Q70" i="1"/>
  <c r="Q69" i="1"/>
  <c r="Q68" i="1"/>
  <c r="Q67" i="1"/>
  <c r="Q66" i="1"/>
  <c r="Q65" i="1"/>
  <c r="P65" i="1"/>
  <c r="P66" i="1"/>
  <c r="P67" i="1"/>
  <c r="P68" i="1"/>
  <c r="P69" i="1"/>
  <c r="P70" i="1"/>
  <c r="P71" i="1"/>
  <c r="O71" i="1"/>
  <c r="O70" i="1"/>
  <c r="O69" i="1"/>
  <c r="O68" i="1"/>
  <c r="O67" i="1"/>
  <c r="O66" i="1"/>
  <c r="O65" i="1"/>
  <c r="W53" i="1"/>
  <c r="V53" i="1"/>
  <c r="X52" i="1"/>
  <c r="V52" i="1"/>
  <c r="X51" i="1"/>
  <c r="W51" i="1"/>
  <c r="V51" i="1"/>
  <c r="X50" i="1"/>
  <c r="W50" i="1"/>
  <c r="V50" i="1"/>
  <c r="W47" i="1"/>
  <c r="V47" i="1"/>
  <c r="X46" i="1"/>
  <c r="W46" i="1"/>
  <c r="V46" i="1"/>
  <c r="X45" i="1"/>
  <c r="W45" i="1"/>
  <c r="V45" i="1"/>
  <c r="X44" i="1"/>
  <c r="W44" i="1"/>
  <c r="V44" i="1"/>
  <c r="W41" i="1"/>
  <c r="V41" i="1"/>
  <c r="X40" i="1"/>
  <c r="W40" i="1"/>
  <c r="V40" i="1"/>
  <c r="X39" i="1"/>
  <c r="W39" i="1"/>
  <c r="V39" i="1"/>
  <c r="X38" i="1"/>
  <c r="W38" i="1"/>
  <c r="V38" i="1"/>
  <c r="P59" i="1"/>
  <c r="O59" i="1"/>
  <c r="Q58" i="1"/>
  <c r="P58" i="1"/>
  <c r="O58" i="1"/>
  <c r="Q57" i="1"/>
  <c r="P57" i="1"/>
  <c r="O57" i="1"/>
  <c r="Q56" i="1"/>
  <c r="P56" i="1"/>
  <c r="O56" i="1"/>
  <c r="P53" i="1"/>
  <c r="O53" i="1"/>
  <c r="Q52" i="1"/>
  <c r="P52" i="1"/>
  <c r="O52" i="1"/>
  <c r="Q51" i="1"/>
  <c r="P51" i="1"/>
  <c r="O51" i="1"/>
  <c r="Q50" i="1"/>
  <c r="P50" i="1"/>
  <c r="O50" i="1"/>
  <c r="S50" i="1" s="1"/>
  <c r="P47" i="1"/>
  <c r="O47" i="1"/>
  <c r="Q46" i="1"/>
  <c r="P46" i="1"/>
  <c r="S51" i="1"/>
  <c r="S46" i="1"/>
  <c r="O46" i="1"/>
  <c r="Q45" i="1"/>
  <c r="P45" i="1"/>
  <c r="S45" i="1" s="1"/>
  <c r="O45" i="1"/>
  <c r="Q44" i="1"/>
  <c r="P44" i="1"/>
  <c r="O44" i="1"/>
  <c r="O38" i="1"/>
  <c r="P41" i="1"/>
  <c r="O41" i="1"/>
  <c r="Q40" i="1"/>
  <c r="P40" i="1"/>
  <c r="S40" i="1" s="1"/>
  <c r="O40" i="1"/>
  <c r="Q39" i="1"/>
  <c r="P39" i="1"/>
  <c r="O39" i="1"/>
  <c r="Q38" i="1"/>
  <c r="P38" i="1"/>
  <c r="S59" i="1"/>
  <c r="S58" i="1"/>
  <c r="S57" i="1"/>
  <c r="S56" i="1"/>
  <c r="Z53" i="1"/>
  <c r="S53" i="1"/>
  <c r="R53" i="1"/>
  <c r="Z52" i="1"/>
  <c r="T71" i="1" s="1"/>
  <c r="T83" i="1" s="1"/>
  <c r="S52" i="1"/>
  <c r="Z50" i="1"/>
  <c r="Y50" i="1"/>
  <c r="Z47" i="1"/>
  <c r="S47" i="1"/>
  <c r="Z46" i="1"/>
  <c r="Z45" i="1"/>
  <c r="Z44" i="1"/>
  <c r="S44" i="1"/>
  <c r="Z41" i="1"/>
  <c r="Y41" i="1"/>
  <c r="S41" i="1"/>
  <c r="Z40" i="1"/>
  <c r="Z39" i="1"/>
  <c r="S39" i="1"/>
  <c r="R39" i="1"/>
  <c r="Z38" i="1"/>
  <c r="S38" i="1"/>
  <c r="F35" i="2"/>
  <c r="D33" i="2"/>
  <c r="E33" i="2"/>
  <c r="F33" i="2"/>
  <c r="G33" i="2"/>
  <c r="H33" i="2"/>
  <c r="I33" i="2"/>
  <c r="D34" i="2"/>
  <c r="E34" i="2"/>
  <c r="F34" i="2"/>
  <c r="G34" i="2"/>
  <c r="H34" i="2"/>
  <c r="I34" i="2"/>
  <c r="D35" i="2"/>
  <c r="E35" i="2"/>
  <c r="G35" i="2"/>
  <c r="H35" i="2"/>
  <c r="I35" i="2"/>
  <c r="D36" i="2"/>
  <c r="E36" i="2"/>
  <c r="F36" i="2"/>
  <c r="G36" i="2"/>
  <c r="H36" i="2"/>
  <c r="I36" i="2"/>
  <c r="D37" i="2"/>
  <c r="E37" i="2"/>
  <c r="F37" i="2"/>
  <c r="G37" i="2"/>
  <c r="H37" i="2"/>
  <c r="I37" i="2"/>
  <c r="D38" i="2"/>
  <c r="E38" i="2"/>
  <c r="F38" i="2"/>
  <c r="G38" i="2"/>
  <c r="H38" i="2"/>
  <c r="I38" i="2"/>
  <c r="D39" i="2"/>
  <c r="E39" i="2"/>
  <c r="F39" i="2"/>
  <c r="G39" i="2"/>
  <c r="H39" i="2"/>
  <c r="I39" i="2"/>
  <c r="D40" i="2"/>
  <c r="E40" i="2"/>
  <c r="F40" i="2"/>
  <c r="G40" i="2"/>
  <c r="H40" i="2"/>
  <c r="I40" i="2"/>
  <c r="D41" i="2"/>
  <c r="E41" i="2"/>
  <c r="F41" i="2"/>
  <c r="G41" i="2"/>
  <c r="H41" i="2"/>
  <c r="I41" i="2"/>
  <c r="D42" i="2"/>
  <c r="E42" i="2"/>
  <c r="F42" i="2"/>
  <c r="G42" i="2"/>
  <c r="H42" i="2"/>
  <c r="I42" i="2"/>
  <c r="I32" i="2"/>
  <c r="H32" i="2"/>
  <c r="G32" i="2"/>
  <c r="F32" i="2"/>
  <c r="E32" i="2"/>
  <c r="D32" i="2"/>
  <c r="C33" i="2"/>
  <c r="C34" i="2"/>
  <c r="C35" i="2"/>
  <c r="C36" i="2"/>
  <c r="C37" i="2"/>
  <c r="C38" i="2"/>
  <c r="C39" i="2"/>
  <c r="C40" i="2"/>
  <c r="C41" i="2"/>
  <c r="C42" i="2"/>
  <c r="C32" i="2"/>
  <c r="N28" i="2"/>
  <c r="L28" i="2"/>
  <c r="J28" i="2"/>
  <c r="H28" i="2"/>
  <c r="F28" i="2"/>
  <c r="D28" i="2"/>
  <c r="B28" i="2"/>
  <c r="N27" i="2"/>
  <c r="L27" i="2"/>
  <c r="J27" i="2"/>
  <c r="H27" i="2"/>
  <c r="F27" i="2"/>
  <c r="D27" i="2"/>
  <c r="B27" i="2"/>
  <c r="N26" i="2"/>
  <c r="L26" i="2"/>
  <c r="J26" i="2"/>
  <c r="H26" i="2"/>
  <c r="F26" i="2"/>
  <c r="D26" i="2"/>
  <c r="B26" i="2"/>
  <c r="N25" i="2"/>
  <c r="L25" i="2"/>
  <c r="J25" i="2"/>
  <c r="H25" i="2"/>
  <c r="F25" i="2"/>
  <c r="D25" i="2"/>
  <c r="B25" i="2"/>
  <c r="N24" i="2"/>
  <c r="L24" i="2"/>
  <c r="J24" i="2"/>
  <c r="H24" i="2"/>
  <c r="F24" i="2"/>
  <c r="D24" i="2"/>
  <c r="B24" i="2"/>
  <c r="N23" i="2"/>
  <c r="L23" i="2"/>
  <c r="J23" i="2"/>
  <c r="H23" i="2"/>
  <c r="F23" i="2"/>
  <c r="D23" i="2"/>
  <c r="B23" i="2"/>
  <c r="N22" i="2"/>
  <c r="L22" i="2"/>
  <c r="J22" i="2"/>
  <c r="H22" i="2"/>
  <c r="F22" i="2"/>
  <c r="D22" i="2"/>
  <c r="B22" i="2"/>
  <c r="N21" i="2"/>
  <c r="L21" i="2"/>
  <c r="J21" i="2"/>
  <c r="H21" i="2"/>
  <c r="F21" i="2"/>
  <c r="D21" i="2"/>
  <c r="B21" i="2"/>
  <c r="N20" i="2"/>
  <c r="L20" i="2"/>
  <c r="J20" i="2"/>
  <c r="H20" i="2"/>
  <c r="F20" i="2"/>
  <c r="D20" i="2"/>
  <c r="B20" i="2"/>
  <c r="N19" i="2"/>
  <c r="L19" i="2"/>
  <c r="J19" i="2"/>
  <c r="H19" i="2"/>
  <c r="F19" i="2"/>
  <c r="D19" i="2"/>
  <c r="B19" i="2"/>
  <c r="N18" i="2"/>
  <c r="L18" i="2"/>
  <c r="J18" i="2"/>
  <c r="H18" i="2"/>
  <c r="F18" i="2"/>
  <c r="D18" i="2"/>
  <c r="B18" i="2"/>
  <c r="O13" i="2"/>
  <c r="D13" i="2"/>
  <c r="O12" i="2"/>
  <c r="D12" i="2"/>
  <c r="O11" i="2"/>
  <c r="D11" i="2"/>
  <c r="O10" i="2"/>
  <c r="D10" i="2"/>
  <c r="O9" i="2"/>
  <c r="D9" i="2"/>
  <c r="O8" i="2"/>
  <c r="D8" i="2"/>
  <c r="O7" i="2"/>
  <c r="D7" i="2"/>
  <c r="O6" i="2"/>
  <c r="D6" i="2"/>
  <c r="O5" i="2"/>
  <c r="D5" i="2"/>
  <c r="O4" i="2"/>
  <c r="O3" i="2"/>
  <c r="Z10" i="1"/>
  <c r="Y10" i="1"/>
  <c r="Z7" i="1"/>
  <c r="Y7" i="1"/>
  <c r="Z6" i="1"/>
  <c r="Y6" i="1"/>
  <c r="Z5" i="1"/>
  <c r="Y5" i="1"/>
  <c r="Z4" i="1"/>
  <c r="S24" i="1"/>
  <c r="R18" i="1"/>
  <c r="S11" i="1"/>
  <c r="R11" i="1"/>
  <c r="S10" i="1"/>
  <c r="S7" i="1"/>
  <c r="S5" i="1"/>
  <c r="Q32" i="1"/>
  <c r="P32" i="1"/>
  <c r="O32" i="1"/>
  <c r="O18" i="1"/>
  <c r="S18" i="1" s="1"/>
  <c r="W19" i="1"/>
  <c r="V19" i="1"/>
  <c r="Z19" i="1" s="1"/>
  <c r="X17" i="1"/>
  <c r="X18" i="1"/>
  <c r="W18" i="1"/>
  <c r="V12" i="1"/>
  <c r="Z12" i="1" s="1"/>
  <c r="X11" i="1"/>
  <c r="Z11" i="1" s="1"/>
  <c r="V18" i="1"/>
  <c r="Z18" i="1" s="1"/>
  <c r="W17" i="1"/>
  <c r="V17" i="1"/>
  <c r="Z17" i="1" s="1"/>
  <c r="X16" i="1"/>
  <c r="W16" i="1"/>
  <c r="V16" i="1"/>
  <c r="Z16" i="1" s="1"/>
  <c r="W13" i="1"/>
  <c r="V13" i="1"/>
  <c r="Z13" i="1" s="1"/>
  <c r="X12" i="1"/>
  <c r="W12" i="1"/>
  <c r="W11" i="1"/>
  <c r="V11" i="1"/>
  <c r="X10" i="1"/>
  <c r="W10" i="1"/>
  <c r="V10" i="1"/>
  <c r="W7" i="1"/>
  <c r="V7" i="1"/>
  <c r="X6" i="1"/>
  <c r="W6" i="1"/>
  <c r="V6" i="1"/>
  <c r="X5" i="1"/>
  <c r="W5" i="1"/>
  <c r="V5" i="1"/>
  <c r="X4" i="1"/>
  <c r="W4" i="1"/>
  <c r="V4" i="1"/>
  <c r="Y4" i="1" s="1"/>
  <c r="P25" i="1"/>
  <c r="O25" i="1"/>
  <c r="S25" i="1" s="1"/>
  <c r="Q24" i="1"/>
  <c r="P24" i="1"/>
  <c r="O24" i="1"/>
  <c r="R24" i="1" s="1"/>
  <c r="Q23" i="1"/>
  <c r="R23" i="1" s="1"/>
  <c r="P23" i="1"/>
  <c r="O23" i="1"/>
  <c r="S23" i="1" s="1"/>
  <c r="Q22" i="1"/>
  <c r="P22" i="1"/>
  <c r="O22" i="1"/>
  <c r="S22" i="1" s="1"/>
  <c r="P19" i="1"/>
  <c r="O19" i="1"/>
  <c r="S19" i="1" s="1"/>
  <c r="Q18" i="1"/>
  <c r="P18" i="1"/>
  <c r="Q17" i="1"/>
  <c r="P17" i="1"/>
  <c r="O17" i="1"/>
  <c r="R17" i="1" s="1"/>
  <c r="Q16" i="1"/>
  <c r="P16" i="1"/>
  <c r="O16" i="1"/>
  <c r="S16" i="1" s="1"/>
  <c r="O13" i="1"/>
  <c r="R13" i="1" s="1"/>
  <c r="P13" i="1"/>
  <c r="Q12" i="1"/>
  <c r="P12" i="1"/>
  <c r="O12" i="1"/>
  <c r="S12" i="1" s="1"/>
  <c r="Q11" i="1"/>
  <c r="P11" i="1"/>
  <c r="O11" i="1"/>
  <c r="Q10" i="1"/>
  <c r="P10" i="1"/>
  <c r="O10" i="1"/>
  <c r="R10" i="1" s="1"/>
  <c r="P7" i="1"/>
  <c r="O7" i="1"/>
  <c r="R7" i="1" s="1"/>
  <c r="Q6" i="1"/>
  <c r="P6" i="1"/>
  <c r="O6" i="1"/>
  <c r="S6" i="1" s="1"/>
  <c r="Q5" i="1"/>
  <c r="P5" i="1"/>
  <c r="O5" i="1"/>
  <c r="R5" i="1" s="1"/>
  <c r="Q4" i="1"/>
  <c r="P4" i="1"/>
  <c r="O4" i="1"/>
  <c r="S4" i="1" s="1"/>
  <c r="S89" i="1" l="1"/>
  <c r="T89" i="1"/>
  <c r="S90" i="1"/>
  <c r="S91" i="1"/>
  <c r="T91" i="1"/>
  <c r="S92" i="1"/>
  <c r="T92" i="1"/>
  <c r="S93" i="1"/>
  <c r="T93" i="1"/>
  <c r="S94" i="1"/>
  <c r="T94" i="1"/>
  <c r="T88" i="1"/>
  <c r="T90" i="1"/>
  <c r="S88" i="1"/>
  <c r="R92" i="1"/>
  <c r="R93" i="1"/>
  <c r="R94" i="1"/>
  <c r="Q89" i="1"/>
  <c r="Q90" i="1"/>
  <c r="Q91" i="1"/>
  <c r="Q92" i="1"/>
  <c r="Q93" i="1"/>
  <c r="Q94" i="1"/>
  <c r="Q88" i="1"/>
  <c r="R88" i="1"/>
  <c r="R89" i="1"/>
  <c r="R90" i="1"/>
  <c r="R91" i="1"/>
  <c r="Z51" i="1"/>
  <c r="R46" i="1"/>
  <c r="Y53" i="1"/>
  <c r="R44" i="1"/>
  <c r="R51" i="1"/>
  <c r="Y39" i="1"/>
  <c r="Y46" i="1"/>
  <c r="R56" i="1"/>
  <c r="Y44" i="1"/>
  <c r="R47" i="1"/>
  <c r="Y51" i="1"/>
  <c r="R40" i="1"/>
  <c r="Y47" i="1"/>
  <c r="R57" i="1"/>
  <c r="R38" i="1"/>
  <c r="R45" i="1"/>
  <c r="R52" i="1"/>
  <c r="Y40" i="1"/>
  <c r="R50" i="1"/>
  <c r="R58" i="1"/>
  <c r="Y38" i="1"/>
  <c r="R41" i="1"/>
  <c r="Y45" i="1"/>
  <c r="R59" i="1"/>
  <c r="R12" i="1"/>
  <c r="Y12" i="1"/>
  <c r="S13" i="1"/>
  <c r="R19" i="1"/>
  <c r="Y13" i="1"/>
  <c r="S17" i="1"/>
  <c r="R4" i="1"/>
  <c r="R22" i="1"/>
  <c r="Y16" i="1"/>
  <c r="R16" i="1"/>
  <c r="R6" i="1"/>
  <c r="Y17" i="1"/>
  <c r="Y11" i="1"/>
  <c r="Y18" i="1"/>
  <c r="R25" i="1"/>
  <c r="Y19" i="1"/>
  <c r="B75" i="1" l="1"/>
  <c r="B21" i="1"/>
  <c r="B10" i="1"/>
</calcChain>
</file>

<file path=xl/sharedStrings.xml><?xml version="1.0" encoding="utf-8"?>
<sst xmlns="http://schemas.openxmlformats.org/spreadsheetml/2006/main" count="1036" uniqueCount="428">
  <si>
    <t>NOTE</t>
  </si>
  <si>
    <t>This is the Excel sheet for the leaching analysis for c-Se-PS-MNPs 10 ppm in rear water</t>
  </si>
  <si>
    <t>1) "Leaching test 10 ppm c-Se" sheet are the measured weights during the 35 days test, dilutions for the ICP-MS are also included</t>
  </si>
  <si>
    <t>2) "Concentrations analysis" sheet provide the post ICP-MS calculations for Figure 4 ab and Figure S9</t>
  </si>
  <si>
    <t>Dilutions</t>
  </si>
  <si>
    <t>C-Se-PS-MNPs</t>
  </si>
  <si>
    <t>Day 0</t>
  </si>
  <si>
    <t>Day 3</t>
  </si>
  <si>
    <t>Day 7</t>
  </si>
  <si>
    <t>Day 14</t>
  </si>
  <si>
    <t>Day 21</t>
  </si>
  <si>
    <t>Day 28</t>
  </si>
  <si>
    <t>Day 35</t>
  </si>
  <si>
    <t>C1 (ppm)</t>
  </si>
  <si>
    <t>C2(ppm)</t>
  </si>
  <si>
    <t>V1 (mL)</t>
  </si>
  <si>
    <t>V2 (mL)</t>
  </si>
  <si>
    <t>Weight (g)</t>
  </si>
  <si>
    <t>extracted (g)</t>
  </si>
  <si>
    <t>actual (g)</t>
  </si>
  <si>
    <t>new weight</t>
  </si>
  <si>
    <t>Adjusted weight (g)</t>
  </si>
  <si>
    <t>Actual (g)</t>
  </si>
  <si>
    <t>New weight</t>
  </si>
  <si>
    <t>Blk1</t>
  </si>
  <si>
    <t>-</t>
  </si>
  <si>
    <t>Blk2</t>
  </si>
  <si>
    <t>0.5S1</t>
  </si>
  <si>
    <t>0.5S2</t>
  </si>
  <si>
    <t>0.5S3</t>
  </si>
  <si>
    <t>1S1</t>
  </si>
  <si>
    <t>1S2</t>
  </si>
  <si>
    <t>1S3</t>
  </si>
  <si>
    <t>3S1</t>
  </si>
  <si>
    <t>3S2</t>
  </si>
  <si>
    <t>3S3</t>
  </si>
  <si>
    <t>Leftover rear water was accidentally added</t>
  </si>
  <si>
    <t>2% HNO3 (aq) to be added for ICP-MS</t>
  </si>
  <si>
    <t>Extracted amount spilled, extracted a 2nd time</t>
  </si>
  <si>
    <t>Days</t>
  </si>
  <si>
    <t>From extracted (g)</t>
  </si>
  <si>
    <t>Some spilled 3S3 day 7 weight after spilling was 4.4152 (was well mixed)</t>
  </si>
  <si>
    <t>Dilution factors (Extracted+actual)/extracted</t>
  </si>
  <si>
    <t>TABLE 1</t>
  </si>
  <si>
    <t xml:space="preserve"> </t>
  </si>
  <si>
    <t>Sample Id</t>
  </si>
  <si>
    <t>R</t>
  </si>
  <si>
    <t>Acquisition Time</t>
  </si>
  <si>
    <t>QC Status</t>
  </si>
  <si>
    <t>Dataset File</t>
  </si>
  <si>
    <t>Method File</t>
  </si>
  <si>
    <t>Se 82/82
(ug/L)</t>
  </si>
  <si>
    <t>Y (IS) 89/89 (IS)</t>
  </si>
  <si>
    <t>Table 2 redistributed data</t>
  </si>
  <si>
    <t>Table 3</t>
  </si>
  <si>
    <t>Blank</t>
  </si>
  <si>
    <t>09/03/2025 16:34:20</t>
  </si>
  <si>
    <t/>
  </si>
  <si>
    <t>C:\Users\Public\Documents\PerkinElmer Syngistix\ICPMS\DataSet\Externe\Externe_2025\Frank20250903\Blank.013</t>
  </si>
  <si>
    <t>C:\Users\Public\Documents\PerkinElmer Syngistix\ICPMS\Method\ExterneMeth\FrankLi20250903.mth</t>
  </si>
  <si>
    <t>R1</t>
  </si>
  <si>
    <t>R2</t>
  </si>
  <si>
    <t>R3</t>
  </si>
  <si>
    <t>Average (from Table 2)</t>
  </si>
  <si>
    <t>stdev</t>
  </si>
  <si>
    <t>Average (From table 3)</t>
  </si>
  <si>
    <t>STD1</t>
  </si>
  <si>
    <t>09/03/2025 16:35:33</t>
  </si>
  <si>
    <t>C:\Users\Public\Documents\PerkinElmer Syngistix\ICPMS\DataSet\Externe\Externe_2025\Frank20250903\STD1.014</t>
  </si>
  <si>
    <t>0.25% w/w</t>
  </si>
  <si>
    <t>STD2</t>
  </si>
  <si>
    <t>09/03/2025 16:36:45</t>
  </si>
  <si>
    <t>C:\Users\Public\Documents\PerkinElmer Syngistix\ICPMS\DataSet\Externe\Externe_2025\Frank20250903\STD2.015</t>
  </si>
  <si>
    <t>0.72%/w/w</t>
  </si>
  <si>
    <t>STD3</t>
  </si>
  <si>
    <t>09/03/2025 16:37:56</t>
  </si>
  <si>
    <t>C:\Users\Public\Documents\PerkinElmer Syngistix\ICPMS\DataSet\Externe\Externe_2025\Frank20250903\STD3.016</t>
  </si>
  <si>
    <t>2.74% w/w</t>
  </si>
  <si>
    <t>STD4</t>
  </si>
  <si>
    <t>09/03/2025 16:39:09</t>
  </si>
  <si>
    <t>C:\Users\Public\Documents\PerkinElmer Syngistix\ICPMS\DataSet\Externe\Externe_2025\Frank20250903\STD4.017</t>
  </si>
  <si>
    <t>Blk</t>
  </si>
  <si>
    <t>STD5</t>
  </si>
  <si>
    <t>09/03/2025 16:40:19</t>
  </si>
  <si>
    <t>C:\Users\Public\Documents\PerkinElmer Syngistix\ICPMS\DataSet\Externe\Externe_2025\Frank20250903\STD5.018</t>
  </si>
  <si>
    <t>STD6</t>
  </si>
  <si>
    <t>09/03/2025 16:41:29</t>
  </si>
  <si>
    <t>C:\Users\Public\Documents\PerkinElmer Syngistix\ICPMS\DataSet\Externe\Externe_2025\Frank20250903\STD6.019</t>
  </si>
  <si>
    <t>BlankR</t>
  </si>
  <si>
    <t>09/03/2025 16:42:41</t>
  </si>
  <si>
    <t>C:\Users\Public\Documents\PerkinElmer Syngistix\ICPMS\DataSet\Externe\Externe_2025\Frank20250903\BlankR.020</t>
  </si>
  <si>
    <t>QCS27</t>
  </si>
  <si>
    <t>09/03/2025 16:43:52</t>
  </si>
  <si>
    <t>Passed</t>
  </si>
  <si>
    <t>C:\Users\Public\Documents\PerkinElmer Syngistix\ICPMS\DataSet\Externe\Externe_2025\Frank20250903\QCS27.021</t>
  </si>
  <si>
    <t>09/03/2025 16:45:04</t>
  </si>
  <si>
    <t>C:\Users\Public\Documents\PerkinElmer Syngistix\ICPMS\DataSet\Externe\Externe_2025\Frank20250903\BlankR.022</t>
  </si>
  <si>
    <t>09/03/2025 16:48:27</t>
  </si>
  <si>
    <t>C:\Users\Public\Documents\PerkinElmer Syngistix\ICPMS\DataSet\Externe\Externe_2025\Frank20250903\Blank.024</t>
  </si>
  <si>
    <t>09/03/2025 16:49:38</t>
  </si>
  <si>
    <t>C:\Users\Public\Documents\PerkinElmer Syngistix\ICPMS\DataSet\Externe\Externe_2025\Frank20250903\STD1.025</t>
  </si>
  <si>
    <t>09/03/2025 16:50:50</t>
  </si>
  <si>
    <t>C:\Users\Public\Documents\PerkinElmer Syngistix\ICPMS\DataSet\Externe\Externe_2025\Frank20250903\STD2.026</t>
  </si>
  <si>
    <t>09/03/2025 16:52:01</t>
  </si>
  <si>
    <t>C:\Users\Public\Documents\PerkinElmer Syngistix\ICPMS\DataSet\Externe\Externe_2025\Frank20250903\STD3.027</t>
  </si>
  <si>
    <t>09/03/2025 16:53:14</t>
  </si>
  <si>
    <t>C:\Users\Public\Documents\PerkinElmer Syngistix\ICPMS\DataSet\Externe\Externe_2025\Frank20250903\STD4.028</t>
  </si>
  <si>
    <t>09/03/2025 16:54:24</t>
  </si>
  <si>
    <t>C:\Users\Public\Documents\PerkinElmer Syngistix\ICPMS\DataSet\Externe\Externe_2025\Frank20250903\STD5.029</t>
  </si>
  <si>
    <t>09/03/2025 16:55:34</t>
  </si>
  <si>
    <t>C:\Users\Public\Documents\PerkinElmer Syngistix\ICPMS\DataSet\Externe\Externe_2025\Frank20250903\STD6.030</t>
  </si>
  <si>
    <t>09/03/2025 16:56:46</t>
  </si>
  <si>
    <t>C:\Users\Public\Documents\PerkinElmer Syngistix\ICPMS\DataSet\Externe\Externe_2025\Frank20250903\BlankR.031</t>
  </si>
  <si>
    <t>09/03/2025 16:57:57</t>
  </si>
  <si>
    <t>C:\Users\Public\Documents\PerkinElmer Syngistix\ICPMS\DataSet\Externe\Externe_2025\Frank20250903\QCS27.032</t>
  </si>
  <si>
    <t>09/03/2025 16:59:09</t>
  </si>
  <si>
    <t>C:\Users\Public\Documents\PerkinElmer Syngistix\ICPMS\DataSet\Externe\Externe_2025\Frank20250903\BlankR.033</t>
  </si>
  <si>
    <t>1__0p5E_3xUF</t>
  </si>
  <si>
    <t>09/03/2025 17:00:19</t>
  </si>
  <si>
    <t>C:\Users\Public\Documents\PerkinElmer Syngistix\ICPMS\DataSet\Externe\Externe_2025\Frank20250903\1__0p5E_3xUF.034</t>
  </si>
  <si>
    <t>2__1pct_3xwash_Ctrl</t>
  </si>
  <si>
    <t>09/03/2025 17:01:30</t>
  </si>
  <si>
    <t>C:\Users\Public\Documents\PerkinElmer Syngistix\ICPMS\DataSet\Externe\Externe_2025\Frank20250903\2__1pct_3xwash_Ctrl.035</t>
  </si>
  <si>
    <t>3__3pct_3xwash_Ctrl</t>
  </si>
  <si>
    <t>09/03/2025 17:02:41</t>
  </si>
  <si>
    <t>C:\Users\Public\Documents\PerkinElmer Syngistix\ICPMS\DataSet\Externe\Externe_2025\Frank20250903\3__3pct_3xwash_Ctrl.036</t>
  </si>
  <si>
    <t>4_D0_Blk1</t>
  </si>
  <si>
    <t>09/03/2025 17:03:52</t>
  </si>
  <si>
    <t>C:\Users\Public\Documents\PerkinElmer Syngistix\ICPMS\DataSet\Externe\Externe_2025\Frank20250903\4_D0_Blk1.037</t>
  </si>
  <si>
    <t>Table 4 theoretical Se concentration</t>
  </si>
  <si>
    <t>5_D0_Blk2</t>
  </si>
  <si>
    <t>09/03/2025 17:05:03</t>
  </si>
  <si>
    <t>C:\Users\Public\Documents\PerkinElmer Syngistix\ICPMS\DataSet\Externe\Externe_2025\Frank20250903\5_D0_Blk2.038</t>
  </si>
  <si>
    <t>Total Se in c-Se-PS-MNPs</t>
  </si>
  <si>
    <t>0.3% w/w</t>
  </si>
  <si>
    <t>0.7% w/w</t>
  </si>
  <si>
    <t>2.3% w/w</t>
  </si>
  <si>
    <t>6_D0_0p5S1</t>
  </si>
  <si>
    <t>09/03/2025 17:06:15</t>
  </si>
  <si>
    <t>C:\Users\Public\Documents\PerkinElmer Syngistix\ICPMS\DataSet\Externe\Externe_2025\Frank20250903\6_D0_0p5S1.039</t>
  </si>
  <si>
    <t>Se-PS- concentration (ppm)</t>
  </si>
  <si>
    <t>7_D0_0p5S2</t>
  </si>
  <si>
    <t>09/03/2025 17:07:26</t>
  </si>
  <si>
    <t>C:\Users\Public\Documents\PerkinElmer Syngistix\ICPMS\DataSet\Externe\Externe_2025\Frank20250903\7_D0_0p5S2.040</t>
  </si>
  <si>
    <t>%weight</t>
  </si>
  <si>
    <t>8_D0_0p5S3</t>
  </si>
  <si>
    <t>09/03/2025 17:08:37</t>
  </si>
  <si>
    <t>C:\Users\Public\Documents\PerkinElmer Syngistix\ICPMS\DataSet\Externe\Externe_2025\Frank20250903\8_D0_0p5S3.041</t>
  </si>
  <si>
    <t>Total Se in c-Se-PS-MNPs (ppb)</t>
  </si>
  <si>
    <t>9_D0_1S1</t>
  </si>
  <si>
    <t>09/03/2025 17:09:49</t>
  </si>
  <si>
    <t>C:\Users\Public\Documents\PerkinElmer Syngistix\ICPMS\DataSet\Externe\Externe_2025\Frank20250903\9_D0_1S1.042</t>
  </si>
  <si>
    <t>10_D0_1S2</t>
  </si>
  <si>
    <t>09/03/2025 17:11:01</t>
  </si>
  <si>
    <t>C:\Users\Public\Documents\PerkinElmer Syngistix\ICPMS\DataSet\Externe\Externe_2025\Frank20250903\10_D0_1S2.043</t>
  </si>
  <si>
    <t>11_D0_1S3</t>
  </si>
  <si>
    <t>09/03/2025 17:12:14</t>
  </si>
  <si>
    <t>C:\Users\Public\Documents\PerkinElmer Syngistix\ICPMS\DataSet\Externe\Externe_2025\Frank20250903\11_D0_1S3.044</t>
  </si>
  <si>
    <t>Table 5 Adjusted true concentrations with DF from "leaching test 10 ppm c-Se sheet</t>
  </si>
  <si>
    <t>12_D0_3S1</t>
  </si>
  <si>
    <t>09/03/2025 17:13:26</t>
  </si>
  <si>
    <t>C:\Users\Public\Documents\PerkinElmer Syngistix\ICPMS\DataSet\Externe\Externe_2025\Frank20250903\12_D0_3S1.045</t>
  </si>
  <si>
    <t>13_D0_3S2</t>
  </si>
  <si>
    <t>09/03/2025 17:14:37</t>
  </si>
  <si>
    <t>C:\Users\Public\Documents\PerkinElmer Syngistix\ICPMS\DataSet\Externe\Externe_2025\Frank20250903\13_D0_3S2.046</t>
  </si>
  <si>
    <t>Average</t>
  </si>
  <si>
    <t xml:space="preserve">Average </t>
  </si>
  <si>
    <t>14_D0_3S3</t>
  </si>
  <si>
    <t>09/03/2025 17:15:48</t>
  </si>
  <si>
    <t>C:\Users\Public\Documents\PerkinElmer Syngistix\ICPMS\DataSet\Externe\Externe_2025\Frank20250903\14_D0_3S3.047</t>
  </si>
  <si>
    <t>15_D21_Blk1</t>
  </si>
  <si>
    <t>09/03/2025 17:17:02</t>
  </si>
  <si>
    <t>C:\Users\Public\Documents\PerkinElmer Syngistix\ICPMS\DataSet\Externe\Externe_2025\Frank20250903\15_D1_Blk1.048</t>
  </si>
  <si>
    <t>16_D21_Blk2</t>
  </si>
  <si>
    <t>09/03/2025 17:18:13</t>
  </si>
  <si>
    <t>C:\Users\Public\Documents\PerkinElmer Syngistix\ICPMS\DataSet\Externe\Externe_2025\Frank20250903\16_D1_Blk2.049</t>
  </si>
  <si>
    <t>17_D21_0p5S1</t>
  </si>
  <si>
    <t>09/03/2025 17:19:24</t>
  </si>
  <si>
    <t>C:\Users\Public\Documents\PerkinElmer Syngistix\ICPMS\DataSet\Externe\Externe_2025\Frank20250903\17_D1_0p5S1.050</t>
  </si>
  <si>
    <t>18_D21_0p5S2</t>
  </si>
  <si>
    <t>09/03/2025 17:20:35</t>
  </si>
  <si>
    <t>C:\Users\Public\Documents\PerkinElmer Syngistix\ICPMS\DataSet\Externe\Externe_2025\Frank20250903\18_D1_0p5S2.051</t>
  </si>
  <si>
    <t>19_D21_0p5S3</t>
  </si>
  <si>
    <t>09/03/2025 17:21:46</t>
  </si>
  <si>
    <t>C:\Users\Public\Documents\PerkinElmer Syngistix\ICPMS\DataSet\Externe\Externe_2025\Frank20250903\19_D1_0p5S3.052</t>
  </si>
  <si>
    <t>20_D21_1S1</t>
  </si>
  <si>
    <t>09/03/2025 17:22:57</t>
  </si>
  <si>
    <t>C:\Users\Public\Documents\PerkinElmer Syngistix\ICPMS\DataSet\Externe\Externe_2025\Frank20250903\20_D1_1S1.053</t>
  </si>
  <si>
    <t>09/03/2025 17:24:09</t>
  </si>
  <si>
    <t>C:\Users\Public\Documents\PerkinElmer Syngistix\ICPMS\DataSet\Externe\Externe_2025\Frank20250903\BlankR.054</t>
  </si>
  <si>
    <t>09/03/2025 17:25:20</t>
  </si>
  <si>
    <t>C:\Users\Public\Documents\PerkinElmer Syngistix\ICPMS\DataSet\Externe\Externe_2025\Frank20250903\QCS27.055</t>
  </si>
  <si>
    <t>09/03/2025 17:26:32</t>
  </si>
  <si>
    <t>C:\Users\Public\Documents\PerkinElmer Syngistix\ICPMS\DataSet\Externe\Externe_2025\Frank20250903\BlankR.056</t>
  </si>
  <si>
    <t>21_D21_1S2</t>
  </si>
  <si>
    <t>09/03/2025 17:27:43</t>
  </si>
  <si>
    <t>C:\Users\Public\Documents\PerkinElmer Syngistix\ICPMS\DataSet\Externe\Externe_2025\Frank20250903\21_D1_1S2.057</t>
  </si>
  <si>
    <t>22_D21_1S3</t>
  </si>
  <si>
    <t>09/03/2025 17:28:55</t>
  </si>
  <si>
    <t>C:\Users\Public\Documents\PerkinElmer Syngistix\ICPMS\DataSet\Externe\Externe_2025\Frank20250903\22_D1_1S3.058</t>
  </si>
  <si>
    <t>23_D21_3S1</t>
  </si>
  <si>
    <t>09/03/2025 17:30:08</t>
  </si>
  <si>
    <t>C:\Users\Public\Documents\PerkinElmer Syngistix\ICPMS\DataSet\Externe\Externe_2025\Frank20250903\23_D1_3S1.059</t>
  </si>
  <si>
    <t>24_D21_3S2</t>
  </si>
  <si>
    <t>09/03/2025 17:31:20</t>
  </si>
  <si>
    <t>C:\Users\Public\Documents\PerkinElmer Syngistix\ICPMS\DataSet\Externe\Externe_2025\Frank20250903\24_D1_3S2.060</t>
  </si>
  <si>
    <t>25_D21_3S3</t>
  </si>
  <si>
    <t>09/03/2025 17:32:31</t>
  </si>
  <si>
    <t>C:\Users\Public\Documents\PerkinElmer Syngistix\ICPMS\DataSet\Externe\Externe_2025\Frank20250903\25_D1_3S3.061</t>
  </si>
  <si>
    <t>26_D3_Blk1</t>
  </si>
  <si>
    <t>09/03/2025 17:33:42</t>
  </si>
  <si>
    <t>C:\Users\Public\Documents\PerkinElmer Syngistix\ICPMS\DataSet\Externe\Externe_2025\Frank20250903\26_D3_Blk1.062</t>
  </si>
  <si>
    <t>27_D3_Blk2</t>
  </si>
  <si>
    <t>09/03/2025 17:34:53</t>
  </si>
  <si>
    <t>C:\Users\Public\Documents\PerkinElmer Syngistix\ICPMS\DataSet\Externe\Externe_2025\Frank20250903\27_D3_Blk2.063</t>
  </si>
  <si>
    <t>28_D3_0p5S1</t>
  </si>
  <si>
    <t>09/03/2025 17:36:04</t>
  </si>
  <si>
    <t>C:\Users\Public\Documents\PerkinElmer Syngistix\ICPMS\DataSet\Externe\Externe_2025\Frank20250903\28_D3_0p5S1.064</t>
  </si>
  <si>
    <t>29_D3_0p5S2</t>
  </si>
  <si>
    <t>09/03/2025 17:37:15</t>
  </si>
  <si>
    <t>C:\Users\Public\Documents\PerkinElmer Syngistix\ICPMS\DataSet\Externe\Externe_2025\Frank20250903\29_D3_0p5S2.065</t>
  </si>
  <si>
    <t>30_D3_0p5S3</t>
  </si>
  <si>
    <t>09/03/2025 17:38:26</t>
  </si>
  <si>
    <t>C:\Users\Public\Documents\PerkinElmer Syngistix\ICPMS\DataSet\Externe\Externe_2025\Frank20250903\30_D3_0p5S3.066</t>
  </si>
  <si>
    <t>31_D3_1S1</t>
  </si>
  <si>
    <t>09/03/2025 17:39:37</t>
  </si>
  <si>
    <t>C:\Users\Public\Documents\PerkinElmer Syngistix\ICPMS\DataSet\Externe\Externe_2025\Frank20250903\31_D3_1S1.067</t>
  </si>
  <si>
    <t>32_D3_1S2</t>
  </si>
  <si>
    <t>09/03/2025 17:40:48</t>
  </si>
  <si>
    <t>C:\Users\Public\Documents\PerkinElmer Syngistix\ICPMS\DataSet\Externe\Externe_2025\Frank20250903\32_D3_1S2.068</t>
  </si>
  <si>
    <t>33_D3_1S3</t>
  </si>
  <si>
    <t>09/03/2025 17:42:00</t>
  </si>
  <si>
    <t>C:\Users\Public\Documents\PerkinElmer Syngistix\ICPMS\DataSet\Externe\Externe_2025\Frank20250903\33_D3_1S3.069</t>
  </si>
  <si>
    <t>34_D3_3S1</t>
  </si>
  <si>
    <t>09/03/2025 17:43:13</t>
  </si>
  <si>
    <t>C:\Users\Public\Documents\PerkinElmer Syngistix\ICPMS\DataSet\Externe\Externe_2025\Frank20250903\34_D3_3S1.070</t>
  </si>
  <si>
    <t>Table 6 For plotting</t>
  </si>
  <si>
    <t>35_D3_3S2</t>
  </si>
  <si>
    <t>09/03/2025 17:44:25</t>
  </si>
  <si>
    <t>C:\Users\Public\Documents\PerkinElmer Syngistix\ICPMS\DataSet\Externe\Externe_2025\Frank20250903\35_D3_3S2.071</t>
  </si>
  <si>
    <t>36_D3_3S3</t>
  </si>
  <si>
    <t>09/03/2025 17:45:37</t>
  </si>
  <si>
    <t>C:\Users\Public\Documents\PerkinElmer Syngistix\ICPMS\DataSet\Externe\Externe_2025\Frank20250903\36_D3_3S3.072</t>
  </si>
  <si>
    <t>Average R1 to R3</t>
  </si>
  <si>
    <t>0.25 % w/w</t>
  </si>
  <si>
    <t>2.7% w/w</t>
  </si>
  <si>
    <t>37_D7_Blk1</t>
  </si>
  <si>
    <t>09/03/2025 17:46:48</t>
  </si>
  <si>
    <t>C:\Users\Public\Documents\PerkinElmer Syngistix\ICPMS\DataSet\Externe\Externe_2025\Frank20250903\37_D7_Blk1.073</t>
  </si>
  <si>
    <t>Ave</t>
  </si>
  <si>
    <t>38_D7_Blk2</t>
  </si>
  <si>
    <t>09/03/2025 17:47:59</t>
  </si>
  <si>
    <t>C:\Users\Public\Documents\PerkinElmer Syngistix\ICPMS\DataSet\Externe\Externe_2025\Frank20250903\38_D7_Blk2.074</t>
  </si>
  <si>
    <t>39_D7_0p5S1</t>
  </si>
  <si>
    <t>09/03/2025 17:49:10</t>
  </si>
  <si>
    <t>C:\Users\Public\Documents\PerkinElmer Syngistix\ICPMS\DataSet\Externe\Externe_2025\Frank20250903\39_D7_0p5S1.075</t>
  </si>
  <si>
    <t>40_D7_0p5S2</t>
  </si>
  <si>
    <t>09/03/2025 17:50:21</t>
  </si>
  <si>
    <t>C:\Users\Public\Documents\PerkinElmer Syngistix\ICPMS\DataSet\Externe\Externe_2025\Frank20250903\40_D7_0p5S2.076</t>
  </si>
  <si>
    <t>09/03/2025 17:51:31</t>
  </si>
  <si>
    <t>C:\Users\Public\Documents\PerkinElmer Syngistix\ICPMS\DataSet\Externe\Externe_2025\Frank20250903\Blank.077</t>
  </si>
  <si>
    <t>09/03/2025 17:52:43</t>
  </si>
  <si>
    <t>C:\Users\Public\Documents\PerkinElmer Syngistix\ICPMS\DataSet\Externe\Externe_2025\Frank20250903\STD1.078</t>
  </si>
  <si>
    <t>09/03/2025 17:53:54</t>
  </si>
  <si>
    <t>C:\Users\Public\Documents\PerkinElmer Syngistix\ICPMS\DataSet\Externe\Externe_2025\Frank20250903\STD2.079</t>
  </si>
  <si>
    <t>09/03/2025 17:55:05</t>
  </si>
  <si>
    <t>C:\Users\Public\Documents\PerkinElmer Syngistix\ICPMS\DataSet\Externe\Externe_2025\Frank20250903\STD3.080</t>
  </si>
  <si>
    <t>09/03/2025 17:56:18</t>
  </si>
  <si>
    <t>C:\Users\Public\Documents\PerkinElmer Syngistix\ICPMS\DataSet\Externe\Externe_2025\Frank20250903\STD4.081</t>
  </si>
  <si>
    <t>09/03/2025 17:57:28</t>
  </si>
  <si>
    <t>C:\Users\Public\Documents\PerkinElmer Syngistix\ICPMS\DataSet\Externe\Externe_2025\Frank20250903\STD5.082</t>
  </si>
  <si>
    <t>09/03/2025 17:58:38</t>
  </si>
  <si>
    <t>C:\Users\Public\Documents\PerkinElmer Syngistix\ICPMS\DataSet\Externe\Externe_2025\Frank20250903\STD6.083</t>
  </si>
  <si>
    <t>Actual Average</t>
  </si>
  <si>
    <t>09/03/2025 17:59:50</t>
  </si>
  <si>
    <t>C:\Users\Public\Documents\PerkinElmer Syngistix\ICPMS\DataSet\Externe\Externe_2025\Frank20250903\BlankR.084</t>
  </si>
  <si>
    <t>Fig 4a: adjusted Se</t>
  </si>
  <si>
    <t xml:space="preserve"> for Fig 1 Ave</t>
  </si>
  <si>
    <t>09/03/2025 18:01:01</t>
  </si>
  <si>
    <t>C:\Users\Public\Documents\PerkinElmer Syngistix\ICPMS\DataSet\Externe\Externe_2025\Frank20250903\QCS27.085</t>
  </si>
  <si>
    <t>09/03/2025 18:02:13</t>
  </si>
  <si>
    <t>C:\Users\Public\Documents\PerkinElmer Syngistix\ICPMS\DataSet\Externe\Externe_2025\Frank20250903\BlankR.086</t>
  </si>
  <si>
    <t>41_D7_0p5S3</t>
  </si>
  <si>
    <t>09/03/2025 18:03:24</t>
  </si>
  <si>
    <t>C:\Users\Public\Documents\PerkinElmer Syngistix\ICPMS\DataSet\Externe\Externe_2025\Frank20250903\41_D7_0p5S3.087</t>
  </si>
  <si>
    <t>42_D7_1S1</t>
  </si>
  <si>
    <t>09/03/2025 18:04:35</t>
  </si>
  <si>
    <t>C:\Users\Public\Documents\PerkinElmer Syngistix\ICPMS\DataSet\Externe\Externe_2025\Frank20250903\42_D7_1S1.088</t>
  </si>
  <si>
    <t>43_D7_1S2</t>
  </si>
  <si>
    <t>09/03/2025 18:05:46</t>
  </si>
  <si>
    <t>C:\Users\Public\Documents\PerkinElmer Syngistix\ICPMS\DataSet\Externe\Externe_2025\Frank20250903\43_D7_1S2.089</t>
  </si>
  <si>
    <t>44_D7_1S3</t>
  </si>
  <si>
    <t>09/03/2025 18:06:57</t>
  </si>
  <si>
    <t>C:\Users\Public\Documents\PerkinElmer Syngistix\ICPMS\DataSet\Externe\Externe_2025\Frank20250903\44_D7_1S3.090</t>
  </si>
  <si>
    <t>45_D7_3S1</t>
  </si>
  <si>
    <t>09/03/2025 18:08:09</t>
  </si>
  <si>
    <t>C:\Users\Public\Documents\PerkinElmer Syngistix\ICPMS\DataSet\Externe\Externe_2025\Frank20250903\45_D7_3S1.091</t>
  </si>
  <si>
    <t>46_D7_3S2</t>
  </si>
  <si>
    <t>09/03/2025 18:09:22</t>
  </si>
  <si>
    <t>C:\Users\Public\Documents\PerkinElmer Syngistix\ICPMS\DataSet\Externe\Externe_2025\Frank20250903\46_D7_3S2.092</t>
  </si>
  <si>
    <t>47_D7_3S3</t>
  </si>
  <si>
    <t>09/03/2025 18:10:34</t>
  </si>
  <si>
    <t>C:\Users\Public\Documents\PerkinElmer Syngistix\ICPMS\DataSet\Externe\Externe_2025\Frank20250903\47_D7_3S3.093</t>
  </si>
  <si>
    <t>48_D14_Blk1</t>
  </si>
  <si>
    <t>09/03/2025 18:11:46</t>
  </si>
  <si>
    <t>C:\Users\Public\Documents\PerkinElmer Syngistix\ICPMS\DataSet\Externe\Externe_2025\Frank20250903\48_D14_Blk1.094</t>
  </si>
  <si>
    <t>49_D14_Blk2</t>
  </si>
  <si>
    <t>09/03/2025 18:12:57</t>
  </si>
  <si>
    <t>C:\Users\Public\Documents\PerkinElmer Syngistix\ICPMS\DataSet\Externe\Externe_2025\Frank20250903\49_D14_Blk2.095</t>
  </si>
  <si>
    <t>Fig 4b: Dissolved Se/total Se</t>
  </si>
  <si>
    <t>Fig2.  0.25% w/w</t>
  </si>
  <si>
    <t>Fig2.  0.7% w/w</t>
  </si>
  <si>
    <t>Fig2.  2.6% w/w</t>
  </si>
  <si>
    <t>50_D14_0p5S1</t>
  </si>
  <si>
    <t>09/03/2025 18:14:09</t>
  </si>
  <si>
    <t>C:\Users\Public\Documents\PerkinElmer Syngistix\ICPMS\DataSet\Externe\Externe_2025\Frank20250903\50_D14_0p5S1.096</t>
  </si>
  <si>
    <t>51_D14_0p5S2</t>
  </si>
  <si>
    <t>09/03/2025 18:15:21</t>
  </si>
  <si>
    <t>C:\Users\Public\Documents\PerkinElmer Syngistix\ICPMS\DataSet\Externe\Externe_2025\Frank20250903\51_D14_0p5S2.097</t>
  </si>
  <si>
    <t>52_D14_0p5S3</t>
  </si>
  <si>
    <t>09/03/2025 18:16:33</t>
  </si>
  <si>
    <t>C:\Users\Public\Documents\PerkinElmer Syngistix\ICPMS\DataSet\Externe\Externe_2025\Frank20250903\52_D14_0p5S3.098</t>
  </si>
  <si>
    <t>53_D14_1S1</t>
  </si>
  <si>
    <t>09/03/2025 18:17:45</t>
  </si>
  <si>
    <t>C:\Users\Public\Documents\PerkinElmer Syngistix\ICPMS\DataSet\Externe\Externe_2025\Frank20250903\53_D14_1S1.099</t>
  </si>
  <si>
    <t>54_D14_1S2</t>
  </si>
  <si>
    <t>09/03/2025 18:18:57</t>
  </si>
  <si>
    <t>C:\Users\Public\Documents\PerkinElmer Syngistix\ICPMS\DataSet\Externe\Externe_2025\Frank20250903\54_D14_1S2.100</t>
  </si>
  <si>
    <t>55_D14_1S3</t>
  </si>
  <si>
    <t>09/03/2025 18:20:09</t>
  </si>
  <si>
    <t>C:\Users\Public\Documents\PerkinElmer Syngistix\ICPMS\DataSet\Externe\Externe_2025\Frank20250903\55_D14_1S3.101</t>
  </si>
  <si>
    <t>56_D14_3S1</t>
  </si>
  <si>
    <t>09/03/2025 18:21:21</t>
  </si>
  <si>
    <t>C:\Users\Public\Documents\PerkinElmer Syngistix\ICPMS\DataSet\Externe\Externe_2025\Frank20250903\56_D14_3S1.102</t>
  </si>
  <si>
    <t>57_D14_3S2</t>
  </si>
  <si>
    <t>09/03/2025 18:22:33</t>
  </si>
  <si>
    <t>C:\Users\Public\Documents\PerkinElmer Syngistix\ICPMS\DataSet\Externe\Externe_2025\Frank20250903\57_D14_3S2.103</t>
  </si>
  <si>
    <t>58_D14_3S3</t>
  </si>
  <si>
    <t>09/03/2025 18:23:46</t>
  </si>
  <si>
    <t>C:\Users\Public\Documents\PerkinElmer Syngistix\ICPMS\DataSet\Externe\Externe_2025\Frank20250903\58_D14_3S3.104</t>
  </si>
  <si>
    <t>59_D28_Blk1</t>
  </si>
  <si>
    <t>09/03/2025 18:24:58</t>
  </si>
  <si>
    <t>C:\Users\Public\Documents\PerkinElmer Syngistix\ICPMS\DataSet\Externe\Externe_2025\Frank20250903\59_D28_Blk1.105</t>
  </si>
  <si>
    <t>60_D28_Blk2</t>
  </si>
  <si>
    <t>09/03/2025 18:26:10</t>
  </si>
  <si>
    <t>C:\Users\Public\Documents\PerkinElmer Syngistix\ICPMS\DataSet\Externe\Externe_2025\Frank20250903\60_D28_Blk2.106</t>
  </si>
  <si>
    <t>09/03/2025 18:27:21</t>
  </si>
  <si>
    <t>C:\Users\Public\Documents\PerkinElmer Syngistix\ICPMS\DataSet\Externe\Externe_2025\Frank20250903\BlankR.107</t>
  </si>
  <si>
    <t>09/03/2025 18:28:32</t>
  </si>
  <si>
    <t>C:\Users\Public\Documents\PerkinElmer Syngistix\ICPMS\DataSet\Externe\Externe_2025\Frank20250903\QCS27.108</t>
  </si>
  <si>
    <t>09/03/2025 18:29:44</t>
  </si>
  <si>
    <t>C:\Users\Public\Documents\PerkinElmer Syngistix\ICPMS\DataSet\Externe\Externe_2025\Frank20250903\BlankR.109</t>
  </si>
  <si>
    <t>61_D28_0p5S1</t>
  </si>
  <si>
    <t>09/03/2025 18:30:55</t>
  </si>
  <si>
    <t>C:\Users\Public\Documents\PerkinElmer Syngistix\ICPMS\DataSet\Externe\Externe_2025\Frank20250903\61_D28_0p5S1.110</t>
  </si>
  <si>
    <t>62_D28_0p5S2</t>
  </si>
  <si>
    <t>09/03/2025 18:32:07</t>
  </si>
  <si>
    <t>C:\Users\Public\Documents\PerkinElmer Syngistix\ICPMS\DataSet\Externe\Externe_2025\Frank20250903\62_D28_0p5S2.111</t>
  </si>
  <si>
    <t>63_D28_0p5S3</t>
  </si>
  <si>
    <t>09/03/2025 18:33:19</t>
  </si>
  <si>
    <t>C:\Users\Public\Documents\PerkinElmer Syngistix\ICPMS\DataSet\Externe\Externe_2025\Frank20250903\63_D28_0p5S3.112</t>
  </si>
  <si>
    <t>64_D28_1S1</t>
  </si>
  <si>
    <t>09/03/2025 18:34:31</t>
  </si>
  <si>
    <t>C:\Users\Public\Documents\PerkinElmer Syngistix\ICPMS\DataSet\Externe\Externe_2025\Frank20250903\64_D28_1S1.113</t>
  </si>
  <si>
    <t>65_D28_1S2</t>
  </si>
  <si>
    <t>09/03/2025 18:35:43</t>
  </si>
  <si>
    <t>C:\Users\Public\Documents\PerkinElmer Syngistix\ICPMS\DataSet\Externe\Externe_2025\Frank20250903\65_D28_1S2.114</t>
  </si>
  <si>
    <t>66_D28_1S3</t>
  </si>
  <si>
    <t>09/03/2025 18:36:55</t>
  </si>
  <si>
    <t>C:\Users\Public\Documents\PerkinElmer Syngistix\ICPMS\DataSet\Externe\Externe_2025\Frank20250903\66_D28_1S3.115</t>
  </si>
  <si>
    <t>67_D28_3S1</t>
  </si>
  <si>
    <t>09/03/2025 18:38:07</t>
  </si>
  <si>
    <t>C:\Users\Public\Documents\PerkinElmer Syngistix\ICPMS\DataSet\Externe\Externe_2025\Frank20250903\67_D28_3S1.116</t>
  </si>
  <si>
    <t>68_D28_3S2</t>
  </si>
  <si>
    <t>09/03/2025 18:39:19</t>
  </si>
  <si>
    <t>C:\Users\Public\Documents\PerkinElmer Syngistix\ICPMS\DataSet\Externe\Externe_2025\Frank20250903\68_D28_3S2.117</t>
  </si>
  <si>
    <t>69_D28_3S3</t>
  </si>
  <si>
    <t>09/03/2025 18:40:31</t>
  </si>
  <si>
    <t>C:\Users\Public\Documents\PerkinElmer Syngistix\ICPMS\DataSet\Externe\Externe_2025\Frank20250903\69_D28_3S3.118</t>
  </si>
  <si>
    <t>70_D35_Blk1</t>
  </si>
  <si>
    <t>09/03/2025 18:41:47</t>
  </si>
  <si>
    <t>C:\Users\Public\Documents\PerkinElmer Syngistix\ICPMS\DataSet\Externe\Externe_2025\Frank20250903\70_D35_Blk1.119</t>
  </si>
  <si>
    <t>71_D35_Blk2</t>
  </si>
  <si>
    <t>09/03/2025 18:43:00</t>
  </si>
  <si>
    <t>C:\Users\Public\Documents\PerkinElmer Syngistix\ICPMS\DataSet\Externe\Externe_2025\Frank20250903\71_D35_Blk2.120</t>
  </si>
  <si>
    <t>72_D35_0p5S1</t>
  </si>
  <si>
    <t>09/03/2025 18:44:12</t>
  </si>
  <si>
    <t>C:\Users\Public\Documents\PerkinElmer Syngistix\ICPMS\DataSet\Externe\Externe_2025\Frank20250903\72_D35_0p5S1.121</t>
  </si>
  <si>
    <t>73_D35_0p5S2</t>
  </si>
  <si>
    <t>09/03/2025 18:45:23</t>
  </si>
  <si>
    <t>C:\Users\Public\Documents\PerkinElmer Syngistix\ICPMS\DataSet\Externe\Externe_2025\Frank20250903\73_D35_0p5S2.122</t>
  </si>
  <si>
    <t>74_D35_0p5S3</t>
  </si>
  <si>
    <t>09/03/2025 18:46:35</t>
  </si>
  <si>
    <t>C:\Users\Public\Documents\PerkinElmer Syngistix\ICPMS\DataSet\Externe\Externe_2025\Frank20250903\74_D35_0p5S3.123</t>
  </si>
  <si>
    <t>75_D35_1S1</t>
  </si>
  <si>
    <t>09/03/2025 18:47:47</t>
  </si>
  <si>
    <t>C:\Users\Public\Documents\PerkinElmer Syngistix\ICPMS\DataSet\Externe\Externe_2025\Frank20250903\75_D35_1S1.124</t>
  </si>
  <si>
    <t>76_D35_1S2</t>
  </si>
  <si>
    <t>09/03/2025 18:48:59</t>
  </si>
  <si>
    <t>C:\Users\Public\Documents\PerkinElmer Syngistix\ICPMS\DataSet\Externe\Externe_2025\Frank20250903\76_D35_1S2.125</t>
  </si>
  <si>
    <t>77_D35_1S3</t>
  </si>
  <si>
    <t>09/03/2025 18:50:11</t>
  </si>
  <si>
    <t>C:\Users\Public\Documents\PerkinElmer Syngistix\ICPMS\DataSet\Externe\Externe_2025\Frank20250903\77_D35_1S3.126</t>
  </si>
  <si>
    <t>78_D35_3S1</t>
  </si>
  <si>
    <t>09/03/2025 18:51:23</t>
  </si>
  <si>
    <t>C:\Users\Public\Documents\PerkinElmer Syngistix\ICPMS\DataSet\Externe\Externe_2025\Frank20250903\78_D35_3S1.127</t>
  </si>
  <si>
    <t>79_D35_3S2</t>
  </si>
  <si>
    <t>09/03/2025 18:52:35</t>
  </si>
  <si>
    <t>C:\Users\Public\Documents\PerkinElmer Syngistix\ICPMS\DataSet\Externe\Externe_2025\Frank20250903\79_D35_3S2.128</t>
  </si>
  <si>
    <t>80_D35_3S3</t>
  </si>
  <si>
    <t>09/03/2025 18:53:47</t>
  </si>
  <si>
    <t>C:\Users\Public\Documents\PerkinElmer Syngistix\ICPMS\DataSet\Externe\Externe_2025\Frank20250903\80_D35_3S3.129</t>
  </si>
  <si>
    <t>09/03/2025 18:54:59</t>
  </si>
  <si>
    <t>C:\Users\Public\Documents\PerkinElmer Syngistix\ICPMS\DataSet\Externe\Externe_2025\Frank20250903\BlankR.130</t>
  </si>
  <si>
    <t>09/03/2025 18:56:21</t>
  </si>
  <si>
    <t>C:\Users\Public\Documents\PerkinElmer Syngistix\ICPMS\DataSet\Externe\Externe_2025\Frank20250903\66_D28_1S3.131</t>
  </si>
  <si>
    <t>09/03/2025 18:57:32</t>
  </si>
  <si>
    <t>C:\Users\Public\Documents\PerkinElmer Syngistix\ICPMS\DataSet\Externe\Externe_2025\Frank20250903\67_D28_3S1.132</t>
  </si>
  <si>
    <t>09/03/2025 19:00:00</t>
  </si>
  <si>
    <t>C:\Users\Public\Documents\PerkinElmer Syngistix\ICPMS\DataSet\Externe\Externe_2025\Frank20250903\77_D35_1S3.133</t>
  </si>
  <si>
    <t>09/03/2025 19:01:12</t>
  </si>
  <si>
    <t>C:\Users\Public\Documents\PerkinElmer Syngistix\ICPMS\DataSet\Externe\Externe_2025\Frank20250903\BlankR.134</t>
  </si>
  <si>
    <t>09/03/2025 19:02:23</t>
  </si>
  <si>
    <t>C:\Users\Public\Documents\PerkinElmer Syngistix\ICPMS\DataSet\Externe\Externe_2025\Frank20250903\QCS27.135</t>
  </si>
  <si>
    <t>09/03/2025 19:03:35</t>
  </si>
  <si>
    <t>C:\Users\Public\Documents\PerkinElmer Syngistix\ICPMS\DataSet\Externe\Externe_2025\Frank20250903\BlankR.136</t>
  </si>
  <si>
    <t>09/03/2025 19:06:59</t>
  </si>
  <si>
    <t>C:\Users\Public\Documents\PerkinElmer Syngistix\ICPMS\DataSet\Externe\Externe_2025\Frank20250903\45_D7_3S1.137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</si>
</sst>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name val="Tahoma"/>
      <family val="2"/>
    </font>
    <font>
      <sz val="8"/>
      <color rgb="FF551A8B"/>
      <name val="Tahoma"/>
      <family val="2"/>
    </font>
    <font>
      <u/>
      <sz val="8"/>
      <color rgb="FF0000FF"/>
      <name val="Tahoma"/>
      <family val="2"/>
    </font>
    <font>
      <sz val="11"/>
      <color rgb="FF551A8B"/>
      <name val="Calibri"/>
      <family val="2"/>
      <scheme val="minor"/>
    </font>
    <font>
      <sz val="11"/>
      <color rgb="FF000000"/>
      <name val="Avenir LT Std 45 Book"/>
      <family val="2"/>
    </font>
    <font>
      <sz val="11"/>
      <color theme="1"/>
      <name val="Avenir LT Std 45 Book"/>
      <family val="2"/>
    </font>
    <font>
      <sz val="12"/>
      <color theme="1"/>
      <name val="Avenir LT Std 55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left" vertical="top"/>
    </xf>
    <xf numFmtId="164" fontId="3" fillId="0" borderId="4" xfId="0" applyNumberFormat="1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65" fontId="2" fillId="2" borderId="3" xfId="0" applyNumberFormat="1" applyFont="1" applyFill="1" applyBorder="1" applyAlignment="1">
      <alignment horizontal="left" vertical="center"/>
    </xf>
    <xf numFmtId="164" fontId="3" fillId="2" borderId="4" xfId="0" applyNumberFormat="1" applyFont="1" applyFill="1" applyBorder="1" applyAlignment="1">
      <alignment horizontal="left" vertical="center"/>
    </xf>
    <xf numFmtId="165" fontId="2" fillId="0" borderId="3" xfId="0" applyNumberFormat="1" applyFont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165" fontId="7" fillId="0" borderId="0" xfId="0" applyNumberFormat="1" applyFont="1"/>
    <xf numFmtId="165" fontId="7" fillId="0" borderId="10" xfId="0" applyNumberFormat="1" applyFont="1" applyBorder="1"/>
    <xf numFmtId="165" fontId="7" fillId="0" borderId="1" xfId="0" applyNumberFormat="1" applyFont="1" applyBorder="1"/>
    <xf numFmtId="165" fontId="7" fillId="0" borderId="11" xfId="0" applyNumberFormat="1" applyFont="1" applyBorder="1"/>
    <xf numFmtId="165" fontId="7" fillId="0" borderId="9" xfId="0" applyNumberFormat="1" applyFont="1" applyBorder="1"/>
    <xf numFmtId="0" fontId="7" fillId="0" borderId="10" xfId="0" applyFont="1" applyBorder="1"/>
    <xf numFmtId="0" fontId="7" fillId="0" borderId="0" xfId="0" applyFont="1"/>
    <xf numFmtId="0" fontId="7" fillId="0" borderId="7" xfId="0" applyFont="1" applyBorder="1"/>
    <xf numFmtId="165" fontId="7" fillId="0" borderId="12" xfId="0" applyNumberFormat="1" applyFont="1" applyBorder="1"/>
    <xf numFmtId="0" fontId="7" fillId="0" borderId="13" xfId="0" applyFont="1" applyBorder="1"/>
    <xf numFmtId="165" fontId="7" fillId="0" borderId="14" xfId="0" applyNumberFormat="1" applyFont="1" applyBorder="1"/>
    <xf numFmtId="0" fontId="7" fillId="0" borderId="15" xfId="0" applyFont="1" applyBorder="1"/>
    <xf numFmtId="165" fontId="7" fillId="0" borderId="13" xfId="0" applyNumberFormat="1" applyFont="1" applyBorder="1"/>
    <xf numFmtId="165" fontId="7" fillId="0" borderId="15" xfId="0" applyNumberFormat="1" applyFont="1" applyBorder="1"/>
    <xf numFmtId="0" fontId="7" fillId="0" borderId="16" xfId="0" applyFont="1" applyBorder="1"/>
    <xf numFmtId="0" fontId="7" fillId="0" borderId="12" xfId="0" applyFont="1" applyBorder="1"/>
    <xf numFmtId="10" fontId="7" fillId="0" borderId="0" xfId="0" applyNumberFormat="1" applyFont="1"/>
    <xf numFmtId="10" fontId="7" fillId="0" borderId="10" xfId="0" applyNumberFormat="1" applyFont="1" applyBorder="1"/>
    <xf numFmtId="0" fontId="7" fillId="0" borderId="14" xfId="0" applyFont="1" applyBorder="1"/>
    <xf numFmtId="0" fontId="8" fillId="0" borderId="0" xfId="1"/>
    <xf numFmtId="0" fontId="8" fillId="0" borderId="0" xfId="1" applyAlignment="1">
      <alignment wrapText="1"/>
    </xf>
    <xf numFmtId="2" fontId="8" fillId="0" borderId="0" xfId="1" applyNumberFormat="1"/>
    <xf numFmtId="0" fontId="8" fillId="3" borderId="0" xfId="1" applyFill="1"/>
    <xf numFmtId="0" fontId="6" fillId="2" borderId="7" xfId="0" applyFont="1" applyFill="1" applyBorder="1" applyAlignment="1">
      <alignment horizontal="left" vertical="top" wrapText="1"/>
    </xf>
    <xf numFmtId="0" fontId="7" fillId="0" borderId="18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7" xfId="0" applyBorder="1"/>
    <xf numFmtId="0" fontId="0" fillId="0" borderId="12" xfId="0" applyBorder="1"/>
    <xf numFmtId="0" fontId="0" fillId="0" borderId="24" xfId="0" applyBorder="1"/>
    <xf numFmtId="165" fontId="0" fillId="0" borderId="9" xfId="0" applyNumberFormat="1" applyBorder="1"/>
    <xf numFmtId="0" fontId="0" fillId="0" borderId="10" xfId="0" applyBorder="1"/>
    <xf numFmtId="0" fontId="0" fillId="0" borderId="25" xfId="0" applyBorder="1"/>
    <xf numFmtId="165" fontId="0" fillId="0" borderId="13" xfId="0" applyNumberFormat="1" applyBorder="1"/>
    <xf numFmtId="0" fontId="0" fillId="0" borderId="15" xfId="0" applyBorder="1"/>
    <xf numFmtId="0" fontId="0" fillId="0" borderId="26" xfId="0" applyBorder="1"/>
    <xf numFmtId="165" fontId="0" fillId="0" borderId="0" xfId="0" applyNumberFormat="1"/>
    <xf numFmtId="0" fontId="0" fillId="0" borderId="0" xfId="0" applyAlignment="1">
      <alignment wrapText="1"/>
    </xf>
    <xf numFmtId="165" fontId="0" fillId="4" borderId="0" xfId="0" applyNumberFormat="1" applyFill="1"/>
    <xf numFmtId="0" fontId="0" fillId="4" borderId="25" xfId="0" applyFill="1" applyBorder="1"/>
    <xf numFmtId="0" fontId="0" fillId="0" borderId="23" xfId="0" applyBorder="1" applyAlignment="1">
      <alignment horizontal="center" wrapText="1"/>
    </xf>
    <xf numFmtId="165" fontId="0" fillId="0" borderId="25" xfId="0" applyNumberFormat="1" applyBorder="1"/>
    <xf numFmtId="0" fontId="0" fillId="0" borderId="8" xfId="0" applyBorder="1"/>
    <xf numFmtId="0" fontId="0" fillId="0" borderId="27" xfId="0" applyBorder="1"/>
    <xf numFmtId="165" fontId="0" fillId="0" borderId="28" xfId="0" applyNumberFormat="1" applyBorder="1"/>
    <xf numFmtId="165" fontId="0" fillId="0" borderId="29" xfId="0" applyNumberFormat="1" applyBorder="1"/>
    <xf numFmtId="165" fontId="0" fillId="0" borderId="2" xfId="0" applyNumberFormat="1" applyBorder="1"/>
    <xf numFmtId="165" fontId="0" fillId="0" borderId="30" xfId="0" applyNumberFormat="1" applyBorder="1"/>
    <xf numFmtId="165" fontId="0" fillId="0" borderId="17" xfId="0" applyNumberFormat="1" applyBorder="1"/>
    <xf numFmtId="0" fontId="8" fillId="5" borderId="0" xfId="1" applyFill="1"/>
    <xf numFmtId="0" fontId="8" fillId="0" borderId="0" xfId="1" applyAlignment="1">
      <alignment horizontal="center"/>
    </xf>
  </cellXfs>
  <cellStyles count="2">
    <cellStyle name="Normal" xfId="0" builtinId="0"/>
    <cellStyle name="Normal 2" xfId="1" xr:uid="{71EFDE0E-FA6D-4EB3-A487-60B130424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CA"/>
              <a:t>Fig.</a:t>
            </a:r>
            <a:r>
              <a:rPr lang="en-CA" baseline="0"/>
              <a:t> 4a </a:t>
            </a:r>
            <a:r>
              <a:rPr lang="en-CA"/>
              <a:t>Adjusted Se</a:t>
            </a:r>
          </a:p>
        </c:rich>
      </c:tx>
      <c:layout>
        <c:manualLayout>
          <c:xMode val="edge"/>
          <c:yMode val="edge"/>
          <c:x val="0.21086208339265008"/>
          <c:y val="5.33431339091171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Concentrations!$U$63</c:f>
              <c:strCache>
                <c:ptCount val="1"/>
                <c:pt idx="0">
                  <c:v>Blank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Concentrations!$V$77:$V$83</c:f>
                <c:numCache>
                  <c:formatCode>0.000</c:formatCode>
                  <c:ptCount val="7"/>
                  <c:pt idx="0">
                    <c:v>0.16980982904288755</c:v>
                  </c:pt>
                  <c:pt idx="1">
                    <c:v>0.16723685327376062</c:v>
                  </c:pt>
                  <c:pt idx="2">
                    <c:v>5.3720176990296194E-2</c:v>
                  </c:pt>
                  <c:pt idx="3">
                    <c:v>9.716010955565825E-2</c:v>
                  </c:pt>
                  <c:pt idx="4">
                    <c:v>4.0817212246762401E-2</c:v>
                  </c:pt>
                  <c:pt idx="5">
                    <c:v>0.1983057123166756</c:v>
                  </c:pt>
                  <c:pt idx="6">
                    <c:v>5.9540172756420984E-2</c:v>
                  </c:pt>
                </c:numCache>
              </c:numRef>
            </c:plus>
            <c:minus>
              <c:numRef>
                <c:f>Concentrations!$V$77:$V$83</c:f>
                <c:numCache>
                  <c:formatCode>0.000</c:formatCode>
                  <c:ptCount val="7"/>
                  <c:pt idx="0">
                    <c:v>0.16980982904288755</c:v>
                  </c:pt>
                  <c:pt idx="1">
                    <c:v>0.16723685327376062</c:v>
                  </c:pt>
                  <c:pt idx="2">
                    <c:v>5.3720176990296194E-2</c:v>
                  </c:pt>
                  <c:pt idx="3">
                    <c:v>9.716010955565825E-2</c:v>
                  </c:pt>
                  <c:pt idx="4">
                    <c:v>4.0817212246762401E-2</c:v>
                  </c:pt>
                  <c:pt idx="5">
                    <c:v>0.1983057123166756</c:v>
                  </c:pt>
                  <c:pt idx="6">
                    <c:v>5.9540172756420984E-2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Concentrations!$U$77:$U$83</c:f>
              <c:numCache>
                <c:formatCode>0.000</c:formatCode>
                <c:ptCount val="7"/>
                <c:pt idx="0">
                  <c:v>-8.110919193275723E-2</c:v>
                </c:pt>
                <c:pt idx="1">
                  <c:v>-8.4812372319004403E-2</c:v>
                </c:pt>
                <c:pt idx="2">
                  <c:v>1.5687936455315299E-2</c:v>
                </c:pt>
                <c:pt idx="3">
                  <c:v>-3.297974749351118E-3</c:v>
                </c:pt>
                <c:pt idx="4">
                  <c:v>7.3199884184114161E-3</c:v>
                </c:pt>
                <c:pt idx="5">
                  <c:v>0.1512822317471596</c:v>
                </c:pt>
                <c:pt idx="6">
                  <c:v>-5.0706176197741204E-3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5-4BBB-AD88-9001C4DBC195}"/>
            </c:ext>
          </c:extLst>
        </c:ser>
        <c:ser>
          <c:idx val="0"/>
          <c:order val="1"/>
          <c:tx>
            <c:strRef>
              <c:f>Concentrations!$O$63</c:f>
              <c:strCache>
                <c:ptCount val="1"/>
                <c:pt idx="0">
                  <c:v>0.25 % w/w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Concentrations!$P$77:$P$83</c:f>
                <c:numCache>
                  <c:formatCode>0.000</c:formatCode>
                  <c:ptCount val="7"/>
                  <c:pt idx="0">
                    <c:v>6.3758430816609035E-2</c:v>
                  </c:pt>
                  <c:pt idx="1">
                    <c:v>4.6784589271309795E-2</c:v>
                  </c:pt>
                  <c:pt idx="2">
                    <c:v>7.0649081394266552E-2</c:v>
                  </c:pt>
                  <c:pt idx="3">
                    <c:v>9.696755838821268E-2</c:v>
                  </c:pt>
                  <c:pt idx="4">
                    <c:v>0.11697727431578422</c:v>
                  </c:pt>
                  <c:pt idx="5">
                    <c:v>7.4024735696703245E-2</c:v>
                  </c:pt>
                  <c:pt idx="6">
                    <c:v>7.0855379986661429E-2</c:v>
                  </c:pt>
                </c:numCache>
              </c:numRef>
            </c:plus>
            <c:minus>
              <c:numRef>
                <c:f>Concentrations!$P$77:$P$83</c:f>
                <c:numCache>
                  <c:formatCode>0.000</c:formatCode>
                  <c:ptCount val="7"/>
                  <c:pt idx="0">
                    <c:v>6.3758430816609035E-2</c:v>
                  </c:pt>
                  <c:pt idx="1">
                    <c:v>4.6784589271309795E-2</c:v>
                  </c:pt>
                  <c:pt idx="2">
                    <c:v>7.0649081394266552E-2</c:v>
                  </c:pt>
                  <c:pt idx="3">
                    <c:v>9.696755838821268E-2</c:v>
                  </c:pt>
                  <c:pt idx="4">
                    <c:v>0.11697727431578422</c:v>
                  </c:pt>
                  <c:pt idx="5">
                    <c:v>7.4024735696703245E-2</c:v>
                  </c:pt>
                  <c:pt idx="6">
                    <c:v>7.0855379986661429E-2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Concentrations!$O$77:$O$83</c:f>
              <c:numCache>
                <c:formatCode>0.000</c:formatCode>
                <c:ptCount val="7"/>
                <c:pt idx="0">
                  <c:v>0.14775840253873285</c:v>
                </c:pt>
                <c:pt idx="1">
                  <c:v>4.2951910476308308E-2</c:v>
                </c:pt>
                <c:pt idx="2">
                  <c:v>0.12404057404835456</c:v>
                </c:pt>
                <c:pt idx="3">
                  <c:v>9.2835045631686874E-2</c:v>
                </c:pt>
                <c:pt idx="4">
                  <c:v>-8.0997635988611649E-2</c:v>
                </c:pt>
                <c:pt idx="5">
                  <c:v>7.6838657088377893E-2</c:v>
                </c:pt>
                <c:pt idx="6">
                  <c:v>2.9415395221622287E-2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D5-4BBB-AD88-9001C4DBC195}"/>
            </c:ext>
          </c:extLst>
        </c:ser>
        <c:ser>
          <c:idx val="1"/>
          <c:order val="2"/>
          <c:tx>
            <c:strRef>
              <c:f>Concentrations!$Q$63</c:f>
              <c:strCache>
                <c:ptCount val="1"/>
                <c:pt idx="0">
                  <c:v>0.7% w/w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Concentrations!$R$77:$R$83</c:f>
                <c:numCache>
                  <c:formatCode>0.000</c:formatCode>
                  <c:ptCount val="7"/>
                  <c:pt idx="0">
                    <c:v>2.3633481744268887E-2</c:v>
                  </c:pt>
                  <c:pt idx="1">
                    <c:v>0.1188847472959141</c:v>
                  </c:pt>
                  <c:pt idx="2">
                    <c:v>4.0252218851600879E-2</c:v>
                  </c:pt>
                  <c:pt idx="3">
                    <c:v>7.3828566065349321E-2</c:v>
                  </c:pt>
                  <c:pt idx="4">
                    <c:v>0.1912831480399014</c:v>
                  </c:pt>
                  <c:pt idx="5">
                    <c:v>0.11103283890035984</c:v>
                  </c:pt>
                  <c:pt idx="6">
                    <c:v>9.6949513383017674E-2</c:v>
                  </c:pt>
                </c:numCache>
              </c:numRef>
            </c:plus>
            <c:minus>
              <c:numRef>
                <c:f>Concentrations!$R$77:$R$83</c:f>
                <c:numCache>
                  <c:formatCode>0.000</c:formatCode>
                  <c:ptCount val="7"/>
                  <c:pt idx="0">
                    <c:v>2.3633481744268887E-2</c:v>
                  </c:pt>
                  <c:pt idx="1">
                    <c:v>0.1188847472959141</c:v>
                  </c:pt>
                  <c:pt idx="2">
                    <c:v>4.0252218851600879E-2</c:v>
                  </c:pt>
                  <c:pt idx="3">
                    <c:v>7.3828566065349321E-2</c:v>
                  </c:pt>
                  <c:pt idx="4">
                    <c:v>0.1912831480399014</c:v>
                  </c:pt>
                  <c:pt idx="5">
                    <c:v>0.11103283890035984</c:v>
                  </c:pt>
                  <c:pt idx="6">
                    <c:v>9.6949513383017674E-2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Concentrations!$Q$77:$Q$83</c:f>
              <c:numCache>
                <c:formatCode>0.000</c:formatCode>
                <c:ptCount val="7"/>
                <c:pt idx="0">
                  <c:v>0.12440812656853617</c:v>
                </c:pt>
                <c:pt idx="1">
                  <c:v>0.16335926709423232</c:v>
                </c:pt>
                <c:pt idx="2">
                  <c:v>0.1790435793410623</c:v>
                </c:pt>
                <c:pt idx="3">
                  <c:v>0.11205699210418207</c:v>
                </c:pt>
                <c:pt idx="4">
                  <c:v>0.28702252701001019</c:v>
                </c:pt>
                <c:pt idx="5">
                  <c:v>0.16081526912884936</c:v>
                </c:pt>
                <c:pt idx="6">
                  <c:v>5.8968599939982713E-2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D5-4BBB-AD88-9001C4DBC195}"/>
            </c:ext>
          </c:extLst>
        </c:ser>
        <c:ser>
          <c:idx val="2"/>
          <c:order val="3"/>
          <c:tx>
            <c:strRef>
              <c:f>Concentrations!$S$63</c:f>
              <c:strCache>
                <c:ptCount val="1"/>
                <c:pt idx="0">
                  <c:v>2.7% w/w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Concentrations!$T$77:$T$83</c:f>
                <c:numCache>
                  <c:formatCode>0.000</c:formatCode>
                  <c:ptCount val="7"/>
                  <c:pt idx="0">
                    <c:v>3.3463159512413326E-2</c:v>
                  </c:pt>
                  <c:pt idx="1">
                    <c:v>1.2440228906132902E-2</c:v>
                  </c:pt>
                  <c:pt idx="2">
                    <c:v>5.5133817999235432E-2</c:v>
                  </c:pt>
                  <c:pt idx="3">
                    <c:v>8.0339863196825234E-2</c:v>
                  </c:pt>
                  <c:pt idx="4">
                    <c:v>4.983622606608628E-2</c:v>
                  </c:pt>
                  <c:pt idx="5">
                    <c:v>3.7563777803215986E-2</c:v>
                  </c:pt>
                  <c:pt idx="6">
                    <c:v>0.21346511658346506</c:v>
                  </c:pt>
                </c:numCache>
              </c:numRef>
            </c:plus>
            <c:minus>
              <c:numRef>
                <c:f>Concentrations!$T$77:$T$83</c:f>
                <c:numCache>
                  <c:formatCode>0.000</c:formatCode>
                  <c:ptCount val="7"/>
                  <c:pt idx="0">
                    <c:v>3.3463159512413326E-2</c:v>
                  </c:pt>
                  <c:pt idx="1">
                    <c:v>1.2440228906132902E-2</c:v>
                  </c:pt>
                  <c:pt idx="2">
                    <c:v>5.5133817999235432E-2</c:v>
                  </c:pt>
                  <c:pt idx="3">
                    <c:v>8.0339863196825234E-2</c:v>
                  </c:pt>
                  <c:pt idx="4">
                    <c:v>4.983622606608628E-2</c:v>
                  </c:pt>
                  <c:pt idx="5">
                    <c:v>3.7563777803215986E-2</c:v>
                  </c:pt>
                  <c:pt idx="6">
                    <c:v>0.21346511658346506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Concentrations!$S$77:$S$83</c:f>
              <c:numCache>
                <c:formatCode>0.000</c:formatCode>
                <c:ptCount val="7"/>
                <c:pt idx="0">
                  <c:v>0.20381030485875007</c:v>
                </c:pt>
                <c:pt idx="1">
                  <c:v>0.27436417478874287</c:v>
                </c:pt>
                <c:pt idx="2">
                  <c:v>0.22259009120958084</c:v>
                </c:pt>
                <c:pt idx="3">
                  <c:v>0.30179111319539631</c:v>
                </c:pt>
                <c:pt idx="4">
                  <c:v>0.33506456462568246</c:v>
                </c:pt>
                <c:pt idx="5">
                  <c:v>0.38988617210747956</c:v>
                </c:pt>
                <c:pt idx="6">
                  <c:v>0.14536254055282782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D5-4BBB-AD88-9001C4DB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84800"/>
        <c:axId val="1878468480"/>
      </c:lineChart>
      <c:catAx>
        <c:axId val="18784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68480"/>
        <c:crosses val="autoZero"/>
        <c:auto val="1"/>
        <c:lblAlgn val="ctr"/>
        <c:lblOffset val="100"/>
        <c:noMultiLvlLbl val="0"/>
      </c:catAx>
      <c:valAx>
        <c:axId val="18784684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46961397641135"/>
          <c:y val="4.6097095700848998E-4"/>
          <c:w val="0.21628928433464387"/>
          <c:h val="0.2450857706150425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CA"/>
              <a:t>Fig 4b. Dissolved/Total</a:t>
            </a:r>
            <a:r>
              <a:rPr lang="en-CA" baseline="0"/>
              <a:t> Se</a:t>
            </a:r>
            <a:endParaRPr lang="en-CA"/>
          </a:p>
        </c:rich>
      </c:tx>
      <c:layout>
        <c:manualLayout>
          <c:xMode val="edge"/>
          <c:yMode val="edge"/>
          <c:x val="0.10883621754427161"/>
          <c:y val="9.373655304861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Concentrations!$O$63</c:f>
              <c:strCache>
                <c:ptCount val="1"/>
                <c:pt idx="0">
                  <c:v>0.25 % w/w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Concentrations!$P$88:$P$94</c:f>
                <c:numCache>
                  <c:formatCode>0.000</c:formatCode>
                  <c:ptCount val="7"/>
                  <c:pt idx="0">
                    <c:v>0.25503372326643614</c:v>
                  </c:pt>
                  <c:pt idx="1">
                    <c:v>0.18713835708523918</c:v>
                  </c:pt>
                  <c:pt idx="2">
                    <c:v>0.28259632557706621</c:v>
                  </c:pt>
                  <c:pt idx="3">
                    <c:v>0.38787023355285072</c:v>
                  </c:pt>
                  <c:pt idx="4">
                    <c:v>0.4679090972631369</c:v>
                  </c:pt>
                  <c:pt idx="5">
                    <c:v>0.29609894278681298</c:v>
                  </c:pt>
                  <c:pt idx="6">
                    <c:v>0.28342151994664572</c:v>
                  </c:pt>
                </c:numCache>
              </c:numRef>
            </c:plus>
            <c:minus>
              <c:numRef>
                <c:f>Concentrations!$P$88:$P$94</c:f>
                <c:numCache>
                  <c:formatCode>0.000</c:formatCode>
                  <c:ptCount val="7"/>
                  <c:pt idx="0">
                    <c:v>0.25503372326643614</c:v>
                  </c:pt>
                  <c:pt idx="1">
                    <c:v>0.18713835708523918</c:v>
                  </c:pt>
                  <c:pt idx="2">
                    <c:v>0.28259632557706621</c:v>
                  </c:pt>
                  <c:pt idx="3">
                    <c:v>0.38787023355285072</c:v>
                  </c:pt>
                  <c:pt idx="4">
                    <c:v>0.4679090972631369</c:v>
                  </c:pt>
                  <c:pt idx="5">
                    <c:v>0.29609894278681298</c:v>
                  </c:pt>
                  <c:pt idx="6">
                    <c:v>0.28342151994664572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Concentrations!$N$88:$N$94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Concentrations!$O$88:$O$94</c:f>
              <c:numCache>
                <c:formatCode>0.000</c:formatCode>
                <c:ptCount val="7"/>
                <c:pt idx="0">
                  <c:v>0.59103361015493139</c:v>
                </c:pt>
                <c:pt idx="1">
                  <c:v>0.17180764190523323</c:v>
                </c:pt>
                <c:pt idx="2">
                  <c:v>0.49616229619341823</c:v>
                </c:pt>
                <c:pt idx="3">
                  <c:v>0.3713401825267475</c:v>
                </c:pt>
                <c:pt idx="4">
                  <c:v>-0.3239905439544466</c:v>
                </c:pt>
                <c:pt idx="5">
                  <c:v>0.30735462835351157</c:v>
                </c:pt>
                <c:pt idx="6">
                  <c:v>0.11766158088648915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0-4C2D-9303-FA9AE1029220}"/>
            </c:ext>
          </c:extLst>
        </c:ser>
        <c:ser>
          <c:idx val="1"/>
          <c:order val="1"/>
          <c:tx>
            <c:strRef>
              <c:f>Concentrations!$Q$63</c:f>
              <c:strCache>
                <c:ptCount val="1"/>
                <c:pt idx="0">
                  <c:v>0.7% w/w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Concentrations!$R$88:$R$94</c:f>
                <c:numCache>
                  <c:formatCode>0.000</c:formatCode>
                  <c:ptCount val="7"/>
                  <c:pt idx="0">
                    <c:v>3.2824280200373451E-2</c:v>
                  </c:pt>
                  <c:pt idx="1">
                    <c:v>0.16511770457765848</c:v>
                  </c:pt>
                  <c:pt idx="2">
                    <c:v>5.5905859516112336E-2</c:v>
                  </c:pt>
                  <c:pt idx="3">
                    <c:v>0.10253967509076295</c:v>
                  </c:pt>
                  <c:pt idx="4">
                    <c:v>0.26567103894430749</c:v>
                  </c:pt>
                  <c:pt idx="5">
                    <c:v>0.15421227625049977</c:v>
                  </c:pt>
                  <c:pt idx="6">
                    <c:v>0.13465210192085789</c:v>
                  </c:pt>
                </c:numCache>
              </c:numRef>
            </c:plus>
            <c:minus>
              <c:numRef>
                <c:f>Concentrations!$R$88:$R$94</c:f>
                <c:numCache>
                  <c:formatCode>0.000</c:formatCode>
                  <c:ptCount val="7"/>
                  <c:pt idx="0">
                    <c:v>3.2824280200373451E-2</c:v>
                  </c:pt>
                  <c:pt idx="1">
                    <c:v>0.16511770457765848</c:v>
                  </c:pt>
                  <c:pt idx="2">
                    <c:v>5.5905859516112336E-2</c:v>
                  </c:pt>
                  <c:pt idx="3">
                    <c:v>0.10253967509076295</c:v>
                  </c:pt>
                  <c:pt idx="4">
                    <c:v>0.26567103894430749</c:v>
                  </c:pt>
                  <c:pt idx="5">
                    <c:v>0.15421227625049977</c:v>
                  </c:pt>
                  <c:pt idx="6">
                    <c:v>0.13465210192085789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Concentrations!$N$88:$N$94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Concentrations!$Q$88:$Q$94</c:f>
              <c:numCache>
                <c:formatCode>0.000</c:formatCode>
                <c:ptCount val="7"/>
                <c:pt idx="0">
                  <c:v>0.17278906467852245</c:v>
                </c:pt>
                <c:pt idx="1">
                  <c:v>0.22688787096421156</c:v>
                </c:pt>
                <c:pt idx="2">
                  <c:v>0.24867163797369762</c:v>
                </c:pt>
                <c:pt idx="3">
                  <c:v>0.15563471125580844</c:v>
                </c:pt>
                <c:pt idx="4">
                  <c:v>0.39864239862501416</c:v>
                </c:pt>
                <c:pt idx="5">
                  <c:v>0.22335454045673522</c:v>
                </c:pt>
                <c:pt idx="6">
                  <c:v>8.1900833249975991E-2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E0-4C2D-9303-FA9AE1029220}"/>
            </c:ext>
          </c:extLst>
        </c:ser>
        <c:ser>
          <c:idx val="2"/>
          <c:order val="2"/>
          <c:tx>
            <c:strRef>
              <c:f>Concentrations!$S$63</c:f>
              <c:strCache>
                <c:ptCount val="1"/>
                <c:pt idx="0">
                  <c:v>2.7% w/w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Concentrations!$T$88:$T$94</c:f>
                <c:numCache>
                  <c:formatCode>0.000</c:formatCode>
                  <c:ptCount val="7"/>
                  <c:pt idx="0">
                    <c:v>1.2212831938836981E-2</c:v>
                  </c:pt>
                  <c:pt idx="1">
                    <c:v>4.5402295277857307E-3</c:v>
                  </c:pt>
                  <c:pt idx="2">
                    <c:v>2.0121831386582273E-2</c:v>
                  </c:pt>
                  <c:pt idx="3">
                    <c:v>2.9321117955045706E-2</c:v>
                  </c:pt>
                  <c:pt idx="4">
                    <c:v>1.8188403673754117E-2</c:v>
                  </c:pt>
                  <c:pt idx="5">
                    <c:v>1.3709407957378099E-2</c:v>
                  </c:pt>
                  <c:pt idx="6">
                    <c:v>7.7906976855279225E-2</c:v>
                  </c:pt>
                </c:numCache>
              </c:numRef>
            </c:plus>
            <c:minus>
              <c:numRef>
                <c:f>Concentrations!$T$88:$T$94</c:f>
                <c:numCache>
                  <c:formatCode>0.000</c:formatCode>
                  <c:ptCount val="7"/>
                  <c:pt idx="0">
                    <c:v>1.2212831938836981E-2</c:v>
                  </c:pt>
                  <c:pt idx="1">
                    <c:v>4.5402295277857307E-3</c:v>
                  </c:pt>
                  <c:pt idx="2">
                    <c:v>2.0121831386582273E-2</c:v>
                  </c:pt>
                  <c:pt idx="3">
                    <c:v>2.9321117955045706E-2</c:v>
                  </c:pt>
                  <c:pt idx="4">
                    <c:v>1.8188403673754117E-2</c:v>
                  </c:pt>
                  <c:pt idx="5">
                    <c:v>1.3709407957378099E-2</c:v>
                  </c:pt>
                  <c:pt idx="6">
                    <c:v>7.7906976855279225E-2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Concentrations!$N$88:$N$94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Concentrations!$S$88:$S$94</c:f>
              <c:numCache>
                <c:formatCode>0.000</c:formatCode>
                <c:ptCount val="7"/>
                <c:pt idx="0">
                  <c:v>7.438332294114966E-2</c:v>
                </c:pt>
                <c:pt idx="1">
                  <c:v>0.10013291050684045</c:v>
                </c:pt>
                <c:pt idx="2">
                  <c:v>8.1237259565540454E-2</c:v>
                </c:pt>
                <c:pt idx="3">
                  <c:v>0.11014274204211544</c:v>
                </c:pt>
                <c:pt idx="4">
                  <c:v>0.12228633745462864</c:v>
                </c:pt>
                <c:pt idx="5">
                  <c:v>0.14229422339689035</c:v>
                </c:pt>
                <c:pt idx="6">
                  <c:v>5.3052022099572195E-2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E0-4C2D-9303-FA9AE1029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84800"/>
        <c:axId val="1878468480"/>
        <c:extLst/>
      </c:lineChart>
      <c:catAx>
        <c:axId val="18784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68480"/>
        <c:crosses val="autoZero"/>
        <c:auto val="1"/>
        <c:lblAlgn val="ctr"/>
        <c:lblOffset val="100"/>
        <c:noMultiLvlLbl val="0"/>
      </c:catAx>
      <c:valAx>
        <c:axId val="18784684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624896291542098"/>
          <c:y val="1.864258322176587E-2"/>
          <c:w val="0.43555634667607535"/>
          <c:h val="0.2480996911528583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/>
              <a:t>Fig S9 abcd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0.25R1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(Concentrations!$O$4,Concentrations!$O$10,Concentrations!$O$16,Concentrations!$O$22,Concentrations!$V$4,Concentrations!$V$10,Concentrations!$V$16)</c:f>
              <c:numCache>
                <c:formatCode>0.000</c:formatCode>
                <c:ptCount val="7"/>
                <c:pt idx="0">
                  <c:v>0.56618087088539204</c:v>
                </c:pt>
                <c:pt idx="1">
                  <c:v>0.49349616901787502</c:v>
                </c:pt>
                <c:pt idx="2">
                  <c:v>0.54275652003989505</c:v>
                </c:pt>
                <c:pt idx="3">
                  <c:v>0.58378214607015899</c:v>
                </c:pt>
                <c:pt idx="4">
                  <c:v>0.50036381807399499</c:v>
                </c:pt>
                <c:pt idx="5">
                  <c:v>0.48050657575822198</c:v>
                </c:pt>
                <c:pt idx="6">
                  <c:v>0.508819104560707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A-4220-8E57-09242712EA4A}"/>
            </c:ext>
          </c:extLst>
        </c:ser>
        <c:ser>
          <c:idx val="1"/>
          <c:order val="1"/>
          <c:tx>
            <c:v>0.25R2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(Concentrations!$P$4,Concentrations!$P$10,Concentrations!$P$16,Concentrations!$P$22,Concentrations!$W$4,Concentrations!$W$10,Concentrations!$W$16)</c:f>
              <c:numCache>
                <c:formatCode>0.000</c:formatCode>
                <c:ptCount val="7"/>
                <c:pt idx="0">
                  <c:v>0.59341467023454997</c:v>
                </c:pt>
                <c:pt idx="1">
                  <c:v>0.50321781316104097</c:v>
                </c:pt>
                <c:pt idx="2">
                  <c:v>0.51636429764827096</c:v>
                </c:pt>
                <c:pt idx="3">
                  <c:v>0.51331492414189395</c:v>
                </c:pt>
                <c:pt idx="4">
                  <c:v>0.46307502352945501</c:v>
                </c:pt>
                <c:pt idx="5">
                  <c:v>0.565856859993907</c:v>
                </c:pt>
                <c:pt idx="6">
                  <c:v>0.46647986616832898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A-4220-8E57-09242712EA4A}"/>
            </c:ext>
          </c:extLst>
        </c:ser>
        <c:ser>
          <c:idx val="2"/>
          <c:order val="2"/>
          <c:tx>
            <c:v>0.25R3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(Concentrations!$Q$4,Concentrations!$Q$10,Concentrations!$Q$16,Concentrations!$Q$22,Concentrations!$X$4,Concentrations!$X$10,Concentrations!$X$16)</c:f>
              <c:numCache>
                <c:formatCode>0.000</c:formatCode>
                <c:ptCount val="7"/>
                <c:pt idx="0">
                  <c:v>0.53147327067117001</c:v>
                </c:pt>
                <c:pt idx="1">
                  <c:v>0.53769063230927205</c:v>
                </c:pt>
                <c:pt idx="2">
                  <c:v>0.59102417493536497</c:v>
                </c:pt>
                <c:pt idx="3">
                  <c:v>0.503766941590996</c:v>
                </c:pt>
                <c:pt idx="4">
                  <c:v>0.38541736879918498</c:v>
                </c:pt>
                <c:pt idx="5">
                  <c:v>0.52994358426204902</c:v>
                </c:pt>
                <c:pt idx="6">
                  <c:v>0.53423372337417996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A-4220-8E57-09242712EA4A}"/>
            </c:ext>
          </c:extLst>
        </c:ser>
        <c:ser>
          <c:idx val="3"/>
          <c:order val="3"/>
          <c:tx>
            <c:v>0.7R1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(Concentrations!$O$5,Concentrations!$O$11,Concentrations!$O$17,Concentrations!$O$23,Concentrations!$V$5,Concentrations!$V$11,Concentrations!$V$17)</c:f>
              <c:numCache>
                <c:formatCode>0.000</c:formatCode>
                <c:ptCount val="7"/>
                <c:pt idx="0">
                  <c:v>0.564848147357497</c:v>
                </c:pt>
                <c:pt idx="1">
                  <c:v>0.63552911316161798</c:v>
                </c:pt>
                <c:pt idx="2">
                  <c:v>0.59706790527768605</c:v>
                </c:pt>
                <c:pt idx="3">
                  <c:v>0.51588777323731105</c:v>
                </c:pt>
                <c:pt idx="4">
                  <c:v>0.73886724710359897</c:v>
                </c:pt>
                <c:pt idx="5">
                  <c:v>0.58910975736154103</c:v>
                </c:pt>
                <c:pt idx="6">
                  <c:v>0.49140745755155102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CA-4220-8E57-09242712EA4A}"/>
            </c:ext>
          </c:extLst>
        </c:ser>
        <c:ser>
          <c:idx val="4"/>
          <c:order val="4"/>
          <c:tx>
            <c:v>0.7R2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(Concentrations!$P$5,Concentrations!$P$11,Concentrations!$P$17,Concentrations!$P$23,Concentrations!$W$5,Concentrations!$W$11,Concentrations!$W$17)</c:f>
              <c:numCache>
                <c:formatCode>0.000</c:formatCode>
                <c:ptCount val="7"/>
                <c:pt idx="0">
                  <c:v>0.54272743584499406</c:v>
                </c:pt>
                <c:pt idx="1">
                  <c:v>0.55280246700851199</c:v>
                </c:pt>
                <c:pt idx="2">
                  <c:v>0.58422824614095503</c:v>
                </c:pt>
                <c:pt idx="3">
                  <c:v>0.58774995749746795</c:v>
                </c:pt>
                <c:pt idx="4">
                  <c:v>0.552117593895735</c:v>
                </c:pt>
                <c:pt idx="5">
                  <c:v>0.61410972766777305</c:v>
                </c:pt>
                <c:pt idx="6">
                  <c:v>0.492716850458575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CA-4220-8E57-09242712EA4A}"/>
            </c:ext>
          </c:extLst>
        </c:ser>
        <c:ser>
          <c:idx val="5"/>
          <c:order val="5"/>
          <c:tx>
            <c:v>0.7R3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(Concentrations!$Q$5,Concentrations!$Q$11,Concentrations!$Q$17,Concentrations!$Q$23,Concentrations!$X$5,Concentrations!$X$11,Concentrations!$X$17)</c:f>
              <c:numCache>
                <c:formatCode>0.000</c:formatCode>
                <c:ptCount val="7"/>
                <c:pt idx="0">
                  <c:v>0.55200079753244802</c:v>
                </c:pt>
                <c:pt idx="1">
                  <c:v>0.51954170616655504</c:v>
                </c:pt>
                <c:pt idx="2">
                  <c:v>0.55806922704650896</c:v>
                </c:pt>
                <c:pt idx="3">
                  <c:v>0.53595822361621304</c:v>
                </c:pt>
                <c:pt idx="4">
                  <c:v>0.61094181760302002</c:v>
                </c:pt>
                <c:pt idx="5">
                  <c:v>0.50813709630508797</c:v>
                </c:pt>
                <c:pt idx="6">
                  <c:v>0.57547637885541902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CA-4220-8E57-09242712EA4A}"/>
            </c:ext>
          </c:extLst>
        </c:ser>
        <c:ser>
          <c:idx val="6"/>
          <c:order val="6"/>
          <c:tx>
            <c:v>2.7R1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(Concentrations!$O$6,Concentrations!$O$12,Concentrations!$O$18,Concentrations!$O$24,Concentrations!$V$6,Concentrations!$V$12,Concentrations!$V$18)</c:f>
              <c:numCache>
                <c:formatCode>0.000</c:formatCode>
                <c:ptCount val="7"/>
                <c:pt idx="0">
                  <c:v>0.83255448702257395</c:v>
                </c:pt>
                <c:pt idx="1">
                  <c:v>0.609879218278219</c:v>
                </c:pt>
                <c:pt idx="2">
                  <c:v>0.63249301843982397</c:v>
                </c:pt>
                <c:pt idx="3">
                  <c:v>0.65173680446853499</c:v>
                </c:pt>
                <c:pt idx="4">
                  <c:v>0.63507638438231695</c:v>
                </c:pt>
                <c:pt idx="5">
                  <c:v>0.65921133777199303</c:v>
                </c:pt>
                <c:pt idx="6">
                  <c:v>0.557758103683484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CA-4220-8E57-09242712EA4A}"/>
            </c:ext>
          </c:extLst>
        </c:ser>
        <c:ser>
          <c:idx val="7"/>
          <c:order val="7"/>
          <c:tx>
            <c:v>2.7R2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(Concentrations!$P$6,Concentrations!$P$12,Concentrations!$P$18,Concentrations!$P$24,Concentrations!$W$6,Concentrations!$W$12,Concentrations!$W$18)</c:f>
              <c:numCache>
                <c:formatCode>0.000</c:formatCode>
                <c:ptCount val="7"/>
                <c:pt idx="0">
                  <c:v>0.58210027970660905</c:v>
                </c:pt>
                <c:pt idx="1">
                  <c:v>0.62777174786471501</c:v>
                </c:pt>
                <c:pt idx="2">
                  <c:v>0.59020020097148695</c:v>
                </c:pt>
                <c:pt idx="3">
                  <c:v>0.59431497626914098</c:v>
                </c:pt>
                <c:pt idx="4">
                  <c:v>0.68377987632257198</c:v>
                </c:pt>
                <c:pt idx="5">
                  <c:v>0.70399494107591798</c:v>
                </c:pt>
                <c:pt idx="6">
                  <c:v>0.459618127724371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CA-4220-8E57-09242712EA4A}"/>
            </c:ext>
          </c:extLst>
        </c:ser>
        <c:ser>
          <c:idx val="8"/>
          <c:order val="8"/>
          <c:tx>
            <c:v>2.7R3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(Concentrations!$Q$6,Concentrations!$Q$12,Concentrations!$Q$18,Concentrations!$Q$24,Concentrations!$X$6,Concentrations!$X$12,Concentrations!$X$18)</c:f>
              <c:numCache>
                <c:formatCode>0.000</c:formatCode>
                <c:ptCount val="7"/>
                <c:pt idx="0">
                  <c:v>0.62612185471058401</c:v>
                </c:pt>
                <c:pt idx="1">
                  <c:v>0.63381187433576902</c:v>
                </c:pt>
                <c:pt idx="2">
                  <c:v>0.58157033177600204</c:v>
                </c:pt>
                <c:pt idx="3">
                  <c:v>0.63644953865679299</c:v>
                </c:pt>
                <c:pt idx="4">
                  <c:v>0.65506145834607199</c:v>
                </c:pt>
                <c:pt idx="5">
                  <c:v>0.68632426925879098</c:v>
                </c:pt>
                <c:pt idx="6">
                  <c:v>0.673362242685552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CA-4220-8E57-09242712EA4A}"/>
            </c:ext>
          </c:extLst>
        </c:ser>
        <c:ser>
          <c:idx val="9"/>
          <c:order val="9"/>
          <c:tx>
            <c:v>BlkR1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(Concentrations!$O$7,Concentrations!$O$13,Concentrations!$O$19,Concentrations!$O$25,Concentrations!$V$7,Concentrations!$V$13,Concentrations!$V$19)</c:f>
              <c:numCache>
                <c:formatCode>0.000</c:formatCode>
                <c:ptCount val="7"/>
                <c:pt idx="0">
                  <c:v>0.48952887168230702</c:v>
                </c:pt>
                <c:pt idx="1">
                  <c:v>0.50579368474262598</c:v>
                </c:pt>
                <c:pt idx="2">
                  <c:v>0.47937911442637299</c:v>
                </c:pt>
                <c:pt idx="3">
                  <c:v>0.441855460780399</c:v>
                </c:pt>
                <c:pt idx="4">
                  <c:v>0.50390441900716598</c:v>
                </c:pt>
                <c:pt idx="5">
                  <c:v>0.63644953865679299</c:v>
                </c:pt>
                <c:pt idx="6">
                  <c:v>0.508819104560707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FCA-4220-8E57-09242712EA4A}"/>
            </c:ext>
          </c:extLst>
        </c:ser>
        <c:ser>
          <c:idx val="10"/>
          <c:order val="10"/>
          <c:tx>
            <c:v>BlkR2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(Concentrations!$P$7,Concentrations!$P$13,Concentrations!$P$19,Concentrations!$P$25,Concentrations!$W$7,Concentrations!$W$13,Concentrations!$W$19)</c:f>
              <c:numCache>
                <c:formatCode>0.000</c:formatCode>
                <c:ptCount val="7"/>
                <c:pt idx="0">
                  <c:v>0.54123216356039605</c:v>
                </c:pt>
                <c:pt idx="1">
                  <c:v>0.38877321802727099</c:v>
                </c:pt>
                <c:pt idx="2">
                  <c:v>0.51668331619142205</c:v>
                </c:pt>
                <c:pt idx="3">
                  <c:v>0.52306907946880599</c:v>
                </c:pt>
                <c:pt idx="4">
                  <c:v>0.47868557200355699</c:v>
                </c:pt>
                <c:pt idx="5">
                  <c:v>0.49592437358265901</c:v>
                </c:pt>
                <c:pt idx="6">
                  <c:v>0.46647986616832898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CA-4220-8E57-09242712E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84800"/>
        <c:axId val="1878468480"/>
      </c:lineChart>
      <c:catAx>
        <c:axId val="18784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68480"/>
        <c:crosses val="autoZero"/>
        <c:auto val="1"/>
        <c:lblAlgn val="ctr"/>
        <c:lblOffset val="100"/>
        <c:noMultiLvlLbl val="0"/>
      </c:catAx>
      <c:valAx>
        <c:axId val="18784684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578427</xdr:colOff>
      <xdr:row>41</xdr:row>
      <xdr:rowOff>166154</xdr:rowOff>
    </xdr:from>
    <xdr:to>
      <xdr:col>38</xdr:col>
      <xdr:colOff>196001</xdr:colOff>
      <xdr:row>67</xdr:row>
      <xdr:rowOff>137579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24C4B1-98A9-42D5-B410-AC40FC226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427148</xdr:colOff>
      <xdr:row>67</xdr:row>
      <xdr:rowOff>64333</xdr:rowOff>
    </xdr:from>
    <xdr:to>
      <xdr:col>38</xdr:col>
      <xdr:colOff>47573</xdr:colOff>
      <xdr:row>87</xdr:row>
      <xdr:rowOff>128416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A19BF4-34E8-4752-A5E5-56CE3C557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49915</xdr:colOff>
      <xdr:row>20</xdr:row>
      <xdr:rowOff>21393</xdr:rowOff>
    </xdr:from>
    <xdr:to>
      <xdr:col>37</xdr:col>
      <xdr:colOff>513432</xdr:colOff>
      <xdr:row>41</xdr:row>
      <xdr:rowOff>155863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D52143-F5A6-410E-8EBA-9D30F3BDD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EF55-16B7-4740-BE88-AE515821E38A}">
  <dimension ref="A2:A5"/>
  <sheetViews>
    <sheetView workbookViewId="0">
      <selection activeCell="N14" sqref="N14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6C94-DE8E-4A06-AEDA-6FFA8020DFEA}">
  <dimension ref="A1:AN42"/>
  <sheetViews>
    <sheetView workbookViewId="0">
      <pane xSplit="1" topLeftCell="B1" activePane="topRight" state="frozen"/>
      <selection pane="topRight" activeCell="Q25" sqref="Q25"/>
      <selection activeCell="A15" sqref="A15"/>
    </sheetView>
  </sheetViews>
  <sheetFormatPr defaultRowHeight="15.75"/>
  <cols>
    <col min="1" max="1" width="9.140625" style="41"/>
    <col min="2" max="2" width="19.7109375" style="41" bestFit="1" customWidth="1"/>
    <col min="3" max="3" width="9.140625" style="41"/>
    <col min="4" max="4" width="19.7109375" style="41" bestFit="1" customWidth="1"/>
    <col min="5" max="5" width="9.140625" style="41"/>
    <col min="6" max="6" width="19.7109375" style="41" bestFit="1" customWidth="1"/>
    <col min="7" max="7" width="9.140625" style="41"/>
    <col min="8" max="8" width="19.7109375" style="41" bestFit="1" customWidth="1"/>
    <col min="9" max="9" width="9.140625" style="41"/>
    <col min="10" max="10" width="19.7109375" style="41" bestFit="1" customWidth="1"/>
    <col min="11" max="11" width="9.140625" style="41"/>
    <col min="12" max="12" width="19.7109375" style="41" bestFit="1" customWidth="1"/>
    <col min="13" max="13" width="9.140625" style="41"/>
    <col min="14" max="14" width="19.7109375" style="41" bestFit="1" customWidth="1"/>
    <col min="15" max="16384" width="9.140625" style="41"/>
  </cols>
  <sheetData>
    <row r="1" spans="1:40">
      <c r="A1" s="41" t="s">
        <v>4</v>
      </c>
      <c r="B1" s="41" t="s">
        <v>5</v>
      </c>
      <c r="F1" s="74"/>
      <c r="G1" s="75" t="s">
        <v>6</v>
      </c>
      <c r="H1" s="75"/>
      <c r="I1" s="75"/>
      <c r="J1" s="75"/>
      <c r="K1" s="75" t="s">
        <v>7</v>
      </c>
      <c r="L1" s="75"/>
      <c r="M1" s="75"/>
      <c r="N1" s="75"/>
      <c r="O1" s="75"/>
      <c r="P1" s="75" t="s">
        <v>8</v>
      </c>
      <c r="Q1" s="75"/>
      <c r="R1" s="75"/>
      <c r="S1" s="75"/>
      <c r="T1" s="75"/>
      <c r="U1" s="75" t="s">
        <v>9</v>
      </c>
      <c r="V1" s="75"/>
      <c r="W1" s="75"/>
      <c r="X1" s="75"/>
      <c r="Y1" s="75"/>
      <c r="Z1" s="75" t="s">
        <v>10</v>
      </c>
      <c r="AA1" s="75"/>
      <c r="AB1" s="75"/>
      <c r="AC1" s="75"/>
      <c r="AD1" s="75"/>
      <c r="AE1" s="75" t="s">
        <v>11</v>
      </c>
      <c r="AF1" s="75"/>
      <c r="AG1" s="75"/>
      <c r="AH1" s="75"/>
      <c r="AI1" s="75"/>
      <c r="AJ1" s="75" t="s">
        <v>12</v>
      </c>
      <c r="AK1" s="75"/>
      <c r="AL1" s="75"/>
      <c r="AM1" s="75"/>
      <c r="AN1" s="75"/>
    </row>
    <row r="2" spans="1:40" ht="63">
      <c r="B2" s="41" t="s">
        <v>13</v>
      </c>
      <c r="C2" s="41" t="s">
        <v>14</v>
      </c>
      <c r="D2" s="41" t="s">
        <v>15</v>
      </c>
      <c r="E2" s="41" t="s">
        <v>16</v>
      </c>
      <c r="F2" s="74"/>
      <c r="G2" s="41" t="s">
        <v>17</v>
      </c>
      <c r="H2" s="41" t="s">
        <v>18</v>
      </c>
      <c r="I2" s="41" t="s">
        <v>19</v>
      </c>
      <c r="J2" s="41" t="s">
        <v>20</v>
      </c>
      <c r="K2" s="41" t="s">
        <v>17</v>
      </c>
      <c r="L2" s="42" t="s">
        <v>21</v>
      </c>
      <c r="M2" s="41" t="s">
        <v>18</v>
      </c>
      <c r="N2" s="41" t="s">
        <v>22</v>
      </c>
      <c r="O2" s="41" t="s">
        <v>23</v>
      </c>
      <c r="P2" s="41" t="s">
        <v>17</v>
      </c>
      <c r="Q2" s="42" t="s">
        <v>21</v>
      </c>
      <c r="R2" s="41" t="s">
        <v>18</v>
      </c>
      <c r="S2" s="41" t="s">
        <v>22</v>
      </c>
      <c r="T2" s="41" t="s">
        <v>23</v>
      </c>
      <c r="U2" s="41" t="s">
        <v>17</v>
      </c>
      <c r="V2" s="42" t="s">
        <v>21</v>
      </c>
      <c r="W2" s="41" t="s">
        <v>18</v>
      </c>
      <c r="X2" s="41" t="s">
        <v>22</v>
      </c>
      <c r="Y2" s="41" t="s">
        <v>23</v>
      </c>
      <c r="Z2" s="41" t="s">
        <v>17</v>
      </c>
      <c r="AA2" s="42" t="s">
        <v>21</v>
      </c>
      <c r="AB2" s="41" t="s">
        <v>18</v>
      </c>
      <c r="AC2" s="41" t="s">
        <v>22</v>
      </c>
      <c r="AD2" s="41" t="s">
        <v>23</v>
      </c>
      <c r="AE2" s="41" t="s">
        <v>17</v>
      </c>
      <c r="AF2" s="42" t="s">
        <v>21</v>
      </c>
      <c r="AG2" s="41" t="s">
        <v>18</v>
      </c>
      <c r="AH2" s="41" t="s">
        <v>22</v>
      </c>
      <c r="AI2" s="41" t="s">
        <v>23</v>
      </c>
      <c r="AJ2" s="41" t="s">
        <v>17</v>
      </c>
      <c r="AK2" s="42" t="s">
        <v>21</v>
      </c>
      <c r="AL2" s="41" t="s">
        <v>18</v>
      </c>
      <c r="AM2" s="41" t="s">
        <v>22</v>
      </c>
      <c r="AN2" s="41" t="s">
        <v>23</v>
      </c>
    </row>
    <row r="3" spans="1:40">
      <c r="A3" s="41" t="s">
        <v>24</v>
      </c>
      <c r="B3" s="41" t="s">
        <v>25</v>
      </c>
      <c r="F3" s="74"/>
      <c r="G3" s="41">
        <v>116.59</v>
      </c>
      <c r="H3" s="41">
        <v>5.1100000000000003</v>
      </c>
      <c r="I3" s="41">
        <v>4.92</v>
      </c>
      <c r="J3" s="41">
        <v>111.47</v>
      </c>
      <c r="K3" s="41">
        <v>111.23</v>
      </c>
      <c r="L3" s="41">
        <v>111.46</v>
      </c>
      <c r="M3" s="41">
        <v>5.03</v>
      </c>
      <c r="N3" s="41">
        <v>4.79</v>
      </c>
      <c r="O3" s="41">
        <f>L3-M3</f>
        <v>106.42999999999999</v>
      </c>
      <c r="P3" s="41">
        <v>106.14</v>
      </c>
      <c r="Q3" s="41">
        <v>106.43</v>
      </c>
      <c r="R3" s="41">
        <v>4.96</v>
      </c>
      <c r="S3" s="41">
        <v>4.83</v>
      </c>
      <c r="T3" s="41">
        <v>101.44</v>
      </c>
      <c r="U3" s="41">
        <v>100.88</v>
      </c>
      <c r="V3" s="41">
        <v>101.51</v>
      </c>
      <c r="W3" s="41">
        <v>5.05</v>
      </c>
      <c r="X3" s="41">
        <v>4.92</v>
      </c>
      <c r="Y3" s="41">
        <v>96.46</v>
      </c>
      <c r="Z3" s="41">
        <v>95.35</v>
      </c>
      <c r="AA3" s="41">
        <v>96.5</v>
      </c>
      <c r="AB3" s="41">
        <v>5.03</v>
      </c>
      <c r="AC3" s="41">
        <v>5.0599999999999996</v>
      </c>
      <c r="AD3" s="41">
        <v>91.45</v>
      </c>
      <c r="AE3" s="41">
        <v>90.61</v>
      </c>
      <c r="AF3" s="41">
        <v>91.43</v>
      </c>
      <c r="AG3" s="41">
        <v>5.01</v>
      </c>
      <c r="AH3" s="41">
        <v>4.92</v>
      </c>
      <c r="AI3" s="41">
        <v>86.42</v>
      </c>
      <c r="AJ3" s="41">
        <v>84.69</v>
      </c>
      <c r="AK3" s="41">
        <v>86.45</v>
      </c>
      <c r="AL3" s="41">
        <v>5.0199999999999996</v>
      </c>
      <c r="AM3" s="41">
        <v>4.96</v>
      </c>
      <c r="AN3" s="41">
        <v>81.45</v>
      </c>
    </row>
    <row r="4" spans="1:40">
      <c r="A4" s="41" t="s">
        <v>26</v>
      </c>
      <c r="B4" s="41" t="s">
        <v>25</v>
      </c>
      <c r="F4" s="74"/>
      <c r="G4" s="41">
        <v>116.7</v>
      </c>
      <c r="H4" s="41">
        <v>5.0199999999999996</v>
      </c>
      <c r="I4" s="41">
        <v>4.93</v>
      </c>
      <c r="J4" s="41">
        <v>111.64</v>
      </c>
      <c r="K4" s="41">
        <v>111.49</v>
      </c>
      <c r="L4" s="41">
        <v>111.64</v>
      </c>
      <c r="M4" s="41">
        <v>5.04</v>
      </c>
      <c r="N4" s="41">
        <v>4.8600000000000003</v>
      </c>
      <c r="O4" s="41">
        <f t="shared" ref="O4:O13" si="0">L4-M4</f>
        <v>106.6</v>
      </c>
      <c r="P4" s="41">
        <v>106.4</v>
      </c>
      <c r="Q4" s="41">
        <v>106.59</v>
      </c>
      <c r="R4" s="41">
        <v>4.96</v>
      </c>
      <c r="S4" s="41">
        <v>4.71</v>
      </c>
      <c r="T4" s="41">
        <v>101.62</v>
      </c>
      <c r="U4" s="41">
        <v>100.93</v>
      </c>
      <c r="V4" s="41">
        <v>101.55</v>
      </c>
      <c r="W4" s="41">
        <v>5.0199999999999996</v>
      </c>
      <c r="X4" s="41">
        <v>4.87</v>
      </c>
      <c r="Y4" s="41">
        <v>96.53</v>
      </c>
      <c r="Z4" s="41">
        <v>95.75</v>
      </c>
      <c r="AA4" s="41">
        <v>96.52</v>
      </c>
      <c r="AB4" s="41">
        <v>5</v>
      </c>
      <c r="AC4" s="41">
        <v>4.88</v>
      </c>
      <c r="AD4" s="41">
        <v>91.5</v>
      </c>
      <c r="AE4" s="41">
        <v>90.21</v>
      </c>
      <c r="AF4" s="41">
        <v>91.52</v>
      </c>
      <c r="AG4" s="41">
        <v>5.0199999999999996</v>
      </c>
      <c r="AH4" s="41">
        <v>4.93</v>
      </c>
      <c r="AI4" s="41">
        <v>83.43</v>
      </c>
      <c r="AJ4" s="41">
        <v>85.61</v>
      </c>
      <c r="AK4" s="41">
        <v>86.42</v>
      </c>
      <c r="AL4" s="41">
        <v>5.04</v>
      </c>
      <c r="AM4" s="41">
        <v>4.8600000000000003</v>
      </c>
      <c r="AN4" s="41">
        <v>81.349999999999994</v>
      </c>
    </row>
    <row r="5" spans="1:40">
      <c r="A5" s="41" t="s">
        <v>27</v>
      </c>
      <c r="B5" s="41">
        <v>426</v>
      </c>
      <c r="C5" s="41">
        <v>10</v>
      </c>
      <c r="D5" s="43">
        <f>C5*E5/B5</f>
        <v>2.347417840375587</v>
      </c>
      <c r="E5" s="41">
        <v>100</v>
      </c>
      <c r="F5" s="74"/>
      <c r="G5" s="41">
        <v>116.33</v>
      </c>
      <c r="H5" s="41">
        <v>5.0199999999999996</v>
      </c>
      <c r="I5" s="41">
        <v>4.67</v>
      </c>
      <c r="J5" s="41">
        <v>111.27</v>
      </c>
      <c r="K5" s="41">
        <v>111</v>
      </c>
      <c r="L5" s="41">
        <v>111.27</v>
      </c>
      <c r="M5" s="41">
        <v>5.04</v>
      </c>
      <c r="N5" s="41">
        <v>4.82</v>
      </c>
      <c r="O5" s="41">
        <f t="shared" si="0"/>
        <v>106.22999999999999</v>
      </c>
      <c r="P5" s="41">
        <v>105.96</v>
      </c>
      <c r="Q5" s="41">
        <v>106.24</v>
      </c>
      <c r="R5" s="41">
        <v>4.97</v>
      </c>
      <c r="S5" s="44">
        <v>5.24</v>
      </c>
      <c r="T5" s="41">
        <v>101.27</v>
      </c>
      <c r="U5" s="41">
        <v>100.76</v>
      </c>
      <c r="V5" s="41">
        <v>101.27</v>
      </c>
      <c r="W5" s="41">
        <v>5.04</v>
      </c>
      <c r="X5" s="41">
        <v>4.95</v>
      </c>
      <c r="Y5" s="41">
        <v>96.25</v>
      </c>
      <c r="Z5" s="41">
        <v>95.59</v>
      </c>
      <c r="AA5" s="41">
        <v>96.37</v>
      </c>
      <c r="AB5" s="41">
        <v>4.96</v>
      </c>
      <c r="AC5" s="41">
        <v>4.83</v>
      </c>
      <c r="AD5" s="41">
        <v>91.39</v>
      </c>
      <c r="AE5" s="41">
        <v>90.59</v>
      </c>
      <c r="AF5" s="41">
        <v>91.36</v>
      </c>
      <c r="AG5" s="41">
        <v>5.03</v>
      </c>
      <c r="AH5" s="41">
        <v>5.0199999999999996</v>
      </c>
      <c r="AI5" s="41">
        <v>86.46</v>
      </c>
      <c r="AJ5" s="41">
        <v>85.64</v>
      </c>
      <c r="AK5" s="41">
        <v>86.46</v>
      </c>
      <c r="AL5" s="41">
        <v>5.07</v>
      </c>
      <c r="AM5" s="41">
        <v>5.0199999999999996</v>
      </c>
      <c r="AN5" s="41">
        <v>81.38</v>
      </c>
    </row>
    <row r="6" spans="1:40">
      <c r="A6" s="41" t="s">
        <v>28</v>
      </c>
      <c r="B6" s="41">
        <v>426</v>
      </c>
      <c r="C6" s="41">
        <v>10</v>
      </c>
      <c r="D6" s="43">
        <f t="shared" ref="D6:D13" si="1">C6*E6/B6</f>
        <v>2.347417840375587</v>
      </c>
      <c r="E6" s="41">
        <v>100</v>
      </c>
      <c r="F6" s="74"/>
      <c r="G6" s="41">
        <v>116.62</v>
      </c>
      <c r="H6" s="41">
        <v>5.0199999999999996</v>
      </c>
      <c r="I6" s="41">
        <v>4.8499999999999996</v>
      </c>
      <c r="J6" s="41">
        <v>111.58</v>
      </c>
      <c r="K6" s="41">
        <v>111.42</v>
      </c>
      <c r="L6" s="41">
        <v>111.59</v>
      </c>
      <c r="M6" s="41">
        <v>5.0199999999999996</v>
      </c>
      <c r="N6" s="41">
        <v>4.8</v>
      </c>
      <c r="O6" s="41">
        <f t="shared" si="0"/>
        <v>106.57000000000001</v>
      </c>
      <c r="P6" s="41">
        <v>106.34</v>
      </c>
      <c r="Q6" s="41">
        <v>106.55</v>
      </c>
      <c r="R6" s="41">
        <v>4.99</v>
      </c>
      <c r="S6" s="41">
        <v>4.75</v>
      </c>
      <c r="T6" s="41">
        <v>101.57</v>
      </c>
      <c r="U6" s="41">
        <v>100.86</v>
      </c>
      <c r="V6" s="41">
        <v>101.59</v>
      </c>
      <c r="W6" s="41">
        <v>4.96</v>
      </c>
      <c r="X6" s="41">
        <v>4.8899999999999997</v>
      </c>
      <c r="Y6" s="41">
        <v>96.6</v>
      </c>
      <c r="Z6" s="41">
        <v>95.47</v>
      </c>
      <c r="AA6" s="41">
        <v>96.57</v>
      </c>
      <c r="AB6" s="41">
        <v>4.93</v>
      </c>
      <c r="AC6" s="41">
        <v>4.8499999999999996</v>
      </c>
      <c r="AD6" s="41">
        <v>91.63</v>
      </c>
      <c r="AE6" s="41">
        <v>90.69</v>
      </c>
      <c r="AF6" s="41">
        <v>91.57</v>
      </c>
      <c r="AG6" s="41">
        <v>5.04</v>
      </c>
      <c r="AH6" s="41">
        <v>5.05</v>
      </c>
      <c r="AI6" s="41">
        <v>86.48</v>
      </c>
      <c r="AJ6" s="41">
        <v>85.19</v>
      </c>
      <c r="AK6" s="41">
        <v>86.49</v>
      </c>
      <c r="AL6" s="41">
        <v>5.04</v>
      </c>
      <c r="AM6" s="41">
        <v>4.8899999999999997</v>
      </c>
      <c r="AN6" s="41">
        <v>81.400000000000006</v>
      </c>
    </row>
    <row r="7" spans="1:40">
      <c r="A7" s="41" t="s">
        <v>29</v>
      </c>
      <c r="B7" s="41">
        <v>327.3</v>
      </c>
      <c r="C7" s="41">
        <v>10</v>
      </c>
      <c r="D7" s="43">
        <f t="shared" si="1"/>
        <v>3.0553009471432935</v>
      </c>
      <c r="E7" s="41">
        <v>100</v>
      </c>
      <c r="F7" s="74"/>
      <c r="G7" s="41">
        <v>116.65</v>
      </c>
      <c r="H7" s="41">
        <v>5.03</v>
      </c>
      <c r="I7" s="41">
        <v>4.82</v>
      </c>
      <c r="J7" s="41">
        <v>111.62</v>
      </c>
      <c r="K7" s="41">
        <v>111.47</v>
      </c>
      <c r="L7" s="41">
        <v>111.62</v>
      </c>
      <c r="M7" s="41">
        <v>5.03</v>
      </c>
      <c r="N7" s="41">
        <v>4.82</v>
      </c>
      <c r="O7" s="41">
        <f t="shared" si="0"/>
        <v>106.59</v>
      </c>
      <c r="P7" s="41">
        <v>106.96</v>
      </c>
      <c r="Q7" s="41">
        <v>106.5</v>
      </c>
      <c r="R7" s="41">
        <v>4.96</v>
      </c>
      <c r="S7" s="41">
        <v>4.87</v>
      </c>
      <c r="T7" s="41">
        <v>101.62</v>
      </c>
      <c r="U7" s="41">
        <v>101.22</v>
      </c>
      <c r="V7" s="41">
        <v>101.71</v>
      </c>
      <c r="W7" s="41">
        <v>5.04</v>
      </c>
      <c r="X7" s="41">
        <v>4.79</v>
      </c>
      <c r="Y7" s="41">
        <v>96.66</v>
      </c>
      <c r="Z7" s="41">
        <v>96.07</v>
      </c>
      <c r="AA7" s="41">
        <v>96.7</v>
      </c>
      <c r="AB7" s="41">
        <v>5</v>
      </c>
      <c r="AC7" s="41">
        <v>4.9800000000000004</v>
      </c>
      <c r="AD7" s="41">
        <v>91.67</v>
      </c>
      <c r="AE7" s="41">
        <v>89.33</v>
      </c>
      <c r="AF7" s="41">
        <v>91.72</v>
      </c>
      <c r="AG7" s="41">
        <v>5</v>
      </c>
      <c r="AH7" s="41">
        <v>4.9800000000000004</v>
      </c>
      <c r="AI7" s="41">
        <v>86.68</v>
      </c>
      <c r="AJ7" s="41">
        <v>85.74</v>
      </c>
      <c r="AK7" s="41">
        <v>86.59</v>
      </c>
      <c r="AL7" s="41">
        <v>5.0199999999999996</v>
      </c>
      <c r="AM7" s="41">
        <v>5</v>
      </c>
      <c r="AN7" s="41">
        <v>81.56</v>
      </c>
    </row>
    <row r="8" spans="1:40">
      <c r="A8" s="41" t="s">
        <v>30</v>
      </c>
      <c r="B8" s="41">
        <v>381</v>
      </c>
      <c r="C8" s="41">
        <v>10</v>
      </c>
      <c r="D8" s="43">
        <f t="shared" si="1"/>
        <v>2.6246719160104988</v>
      </c>
      <c r="E8" s="41">
        <v>100</v>
      </c>
      <c r="F8" s="74"/>
      <c r="G8" s="41">
        <v>116.51</v>
      </c>
      <c r="H8" s="41">
        <v>5.01</v>
      </c>
      <c r="I8" s="41">
        <v>4.7</v>
      </c>
      <c r="J8" s="41">
        <v>111.5</v>
      </c>
      <c r="K8" s="41">
        <v>111.15</v>
      </c>
      <c r="L8" s="41">
        <v>111.49</v>
      </c>
      <c r="M8" s="41">
        <v>5.03</v>
      </c>
      <c r="N8" s="41">
        <v>4.6900000000000004</v>
      </c>
      <c r="O8" s="41">
        <f t="shared" si="0"/>
        <v>106.46</v>
      </c>
      <c r="P8" s="41">
        <v>106.1</v>
      </c>
      <c r="Q8" s="41">
        <v>106.43</v>
      </c>
      <c r="R8" s="41">
        <v>4.97</v>
      </c>
      <c r="S8" s="41">
        <v>4.79</v>
      </c>
      <c r="T8" s="41">
        <v>101.44</v>
      </c>
      <c r="U8" s="41">
        <v>100.92</v>
      </c>
      <c r="V8" s="41">
        <v>101.53</v>
      </c>
      <c r="W8" s="41">
        <v>5.01</v>
      </c>
      <c r="X8" s="41">
        <v>4.9400000000000004</v>
      </c>
      <c r="Y8" s="41">
        <v>96.5</v>
      </c>
      <c r="Z8" s="41">
        <v>95.91</v>
      </c>
      <c r="AA8" s="41">
        <v>96.49</v>
      </c>
      <c r="AB8" s="41">
        <v>5.03</v>
      </c>
      <c r="AC8" s="41">
        <v>4.8899999999999997</v>
      </c>
      <c r="AD8" s="41">
        <v>91.44</v>
      </c>
      <c r="AE8" s="41">
        <v>90.46</v>
      </c>
      <c r="AF8" s="41">
        <v>91.48</v>
      </c>
      <c r="AG8" s="41">
        <v>4.97</v>
      </c>
      <c r="AH8" s="41">
        <v>4.9400000000000004</v>
      </c>
      <c r="AI8" s="41">
        <v>86.47</v>
      </c>
      <c r="AJ8" s="41">
        <v>85.29</v>
      </c>
      <c r="AK8" s="41">
        <v>86.4</v>
      </c>
      <c r="AL8" s="41">
        <v>5.03</v>
      </c>
      <c r="AM8" s="41">
        <v>4.8600000000000003</v>
      </c>
      <c r="AN8" s="41">
        <v>81.33</v>
      </c>
    </row>
    <row r="9" spans="1:40">
      <c r="A9" s="41" t="s">
        <v>31</v>
      </c>
      <c r="B9" s="41">
        <v>381</v>
      </c>
      <c r="C9" s="41">
        <v>10</v>
      </c>
      <c r="D9" s="43">
        <f t="shared" si="1"/>
        <v>2.6246719160104988</v>
      </c>
      <c r="E9" s="41">
        <v>100</v>
      </c>
      <c r="F9" s="74"/>
      <c r="G9" s="41">
        <v>116.65</v>
      </c>
      <c r="H9" s="41">
        <v>5.01</v>
      </c>
      <c r="I9" s="41">
        <v>4.93</v>
      </c>
      <c r="J9" s="41">
        <v>111.6</v>
      </c>
      <c r="K9" s="41">
        <v>111.39</v>
      </c>
      <c r="L9" s="41">
        <v>111.6</v>
      </c>
      <c r="M9" s="41">
        <v>5.0199999999999996</v>
      </c>
      <c r="N9" s="41">
        <v>4.8899999999999997</v>
      </c>
      <c r="O9" s="41">
        <f t="shared" si="0"/>
        <v>106.58</v>
      </c>
      <c r="P9" s="41">
        <v>106.29</v>
      </c>
      <c r="Q9" s="41">
        <v>106.55</v>
      </c>
      <c r="R9" s="41">
        <v>4.96</v>
      </c>
      <c r="S9" s="41">
        <v>4.8899999999999997</v>
      </c>
      <c r="T9" s="41">
        <v>101.57</v>
      </c>
      <c r="U9" s="41">
        <v>101.19</v>
      </c>
      <c r="V9" s="41">
        <v>101.54</v>
      </c>
      <c r="W9" s="41">
        <v>5.0199999999999996</v>
      </c>
      <c r="X9" s="41">
        <v>5.03</v>
      </c>
      <c r="Y9" s="41">
        <v>96.52</v>
      </c>
      <c r="Z9" s="41">
        <v>95.84</v>
      </c>
      <c r="AA9" s="41">
        <v>96.48</v>
      </c>
      <c r="AB9" s="41">
        <v>5</v>
      </c>
      <c r="AC9" s="41">
        <v>5</v>
      </c>
      <c r="AD9" s="41">
        <v>91.43</v>
      </c>
      <c r="AE9" s="41">
        <v>90.31</v>
      </c>
      <c r="AF9" s="41">
        <v>91.46</v>
      </c>
      <c r="AG9" s="41">
        <v>5.03</v>
      </c>
      <c r="AH9" s="41">
        <v>5.04</v>
      </c>
      <c r="AI9" s="41">
        <v>86.41</v>
      </c>
      <c r="AJ9" s="41">
        <v>84.57</v>
      </c>
      <c r="AK9" s="41">
        <v>86.43</v>
      </c>
      <c r="AL9" s="41">
        <v>5.03</v>
      </c>
      <c r="AM9" s="41">
        <v>4.92</v>
      </c>
      <c r="AN9" s="41">
        <v>81.38</v>
      </c>
    </row>
    <row r="10" spans="1:40">
      <c r="A10" s="41" t="s">
        <v>32</v>
      </c>
      <c r="B10" s="41">
        <v>573.9</v>
      </c>
      <c r="C10" s="41">
        <v>10</v>
      </c>
      <c r="D10" s="43">
        <f t="shared" si="1"/>
        <v>1.7424638438752396</v>
      </c>
      <c r="E10" s="41">
        <v>100</v>
      </c>
      <c r="F10" s="74"/>
      <c r="G10" s="41">
        <v>116.49</v>
      </c>
      <c r="H10" s="41">
        <v>5</v>
      </c>
      <c r="I10" s="41">
        <v>4.87</v>
      </c>
      <c r="J10" s="41">
        <v>111.52</v>
      </c>
      <c r="K10" s="41">
        <v>111.39</v>
      </c>
      <c r="L10" s="41">
        <v>111.53</v>
      </c>
      <c r="M10" s="41">
        <v>5.03</v>
      </c>
      <c r="N10" s="41">
        <v>4.79</v>
      </c>
      <c r="O10" s="41">
        <f t="shared" si="0"/>
        <v>106.5</v>
      </c>
      <c r="P10" s="41">
        <v>106.22</v>
      </c>
      <c r="Q10" s="41">
        <v>106.49</v>
      </c>
      <c r="R10" s="41">
        <v>4.96</v>
      </c>
      <c r="S10" s="41">
        <v>4.84</v>
      </c>
      <c r="T10" s="41">
        <v>101.51</v>
      </c>
      <c r="U10" s="41">
        <v>101.27</v>
      </c>
      <c r="V10" s="41">
        <v>101.52</v>
      </c>
      <c r="W10" s="41">
        <v>5.01</v>
      </c>
      <c r="X10" s="41">
        <v>5.03</v>
      </c>
      <c r="Y10" s="41">
        <v>96.5</v>
      </c>
      <c r="Z10" s="41">
        <v>95.34</v>
      </c>
      <c r="AA10" s="41">
        <v>96.5</v>
      </c>
      <c r="AB10" s="41">
        <v>4.99</v>
      </c>
      <c r="AC10" s="41">
        <v>4.84</v>
      </c>
      <c r="AD10" s="41">
        <v>91.55</v>
      </c>
      <c r="AE10" s="41">
        <v>90.52</v>
      </c>
      <c r="AF10" s="41">
        <v>91.36</v>
      </c>
      <c r="AG10" s="41">
        <v>5.0199999999999996</v>
      </c>
      <c r="AH10" s="41">
        <v>5.03</v>
      </c>
      <c r="AI10" s="41">
        <v>86.49</v>
      </c>
      <c r="AJ10" s="41">
        <v>85.74</v>
      </c>
      <c r="AK10" s="41">
        <v>86.45</v>
      </c>
      <c r="AL10" s="41">
        <v>5.05</v>
      </c>
      <c r="AM10" s="41">
        <v>4.9800000000000004</v>
      </c>
      <c r="AN10" s="41">
        <v>81.37</v>
      </c>
    </row>
    <row r="11" spans="1:40">
      <c r="A11" s="41" t="s">
        <v>33</v>
      </c>
      <c r="B11" s="41">
        <v>573</v>
      </c>
      <c r="C11" s="41">
        <v>10</v>
      </c>
      <c r="D11" s="43">
        <f t="shared" si="1"/>
        <v>1.7452006980802792</v>
      </c>
      <c r="E11" s="41">
        <v>100</v>
      </c>
      <c r="F11" s="74"/>
      <c r="G11" s="41">
        <v>116.89</v>
      </c>
      <c r="H11" s="41">
        <v>5.01</v>
      </c>
      <c r="I11" s="41">
        <v>4.72</v>
      </c>
      <c r="J11" s="41">
        <v>111.89</v>
      </c>
      <c r="K11" s="41">
        <v>111.76</v>
      </c>
      <c r="L11" s="41">
        <v>111.89</v>
      </c>
      <c r="M11" s="41">
        <v>5.0199999999999996</v>
      </c>
      <c r="N11" s="41">
        <v>4.76</v>
      </c>
      <c r="O11" s="41">
        <f t="shared" si="0"/>
        <v>106.87</v>
      </c>
      <c r="P11" s="41">
        <v>106.69</v>
      </c>
      <c r="Q11" s="41">
        <v>106.89</v>
      </c>
      <c r="R11" s="41">
        <v>4.97</v>
      </c>
      <c r="S11" s="41">
        <v>4.7699999999999996</v>
      </c>
      <c r="T11" s="41">
        <v>101.87</v>
      </c>
      <c r="U11" s="41">
        <v>101.47</v>
      </c>
      <c r="V11" s="41">
        <v>101.85</v>
      </c>
      <c r="W11" s="41">
        <v>5.03</v>
      </c>
      <c r="X11" s="41">
        <v>4.95</v>
      </c>
      <c r="Y11" s="41">
        <v>96.81</v>
      </c>
      <c r="Z11" s="41">
        <v>96.15</v>
      </c>
      <c r="AA11" s="41">
        <v>96.79</v>
      </c>
      <c r="AB11" s="41">
        <v>5.01</v>
      </c>
      <c r="AC11" s="41">
        <v>4.99</v>
      </c>
      <c r="AD11" s="41">
        <v>91.74</v>
      </c>
      <c r="AE11" s="41">
        <v>90.88</v>
      </c>
      <c r="AF11" s="41">
        <v>91.88</v>
      </c>
      <c r="AG11" s="41">
        <v>5.0199999999999996</v>
      </c>
      <c r="AH11" s="41">
        <v>4.91</v>
      </c>
      <c r="AI11" s="41">
        <v>86.84</v>
      </c>
      <c r="AJ11" s="41">
        <v>85.94</v>
      </c>
      <c r="AK11" s="41">
        <v>86.86</v>
      </c>
      <c r="AL11" s="41">
        <v>5.03</v>
      </c>
      <c r="AM11" s="41">
        <v>4.8899999999999997</v>
      </c>
      <c r="AN11" s="41">
        <v>81.819999999999993</v>
      </c>
    </row>
    <row r="12" spans="1:40">
      <c r="A12" s="41" t="s">
        <v>34</v>
      </c>
      <c r="B12" s="41">
        <v>573</v>
      </c>
      <c r="C12" s="41">
        <v>10</v>
      </c>
      <c r="D12" s="43">
        <f t="shared" si="1"/>
        <v>1.7452006980802792</v>
      </c>
      <c r="E12" s="41">
        <v>100</v>
      </c>
      <c r="F12" s="74"/>
      <c r="G12" s="41">
        <v>116.34</v>
      </c>
      <c r="H12" s="41">
        <v>5.03</v>
      </c>
      <c r="I12" s="41">
        <v>4.83</v>
      </c>
      <c r="J12" s="41">
        <v>111.3</v>
      </c>
      <c r="K12" s="41">
        <v>111.16</v>
      </c>
      <c r="L12" s="41">
        <v>111.3</v>
      </c>
      <c r="M12" s="41">
        <v>5.03</v>
      </c>
      <c r="N12" s="41">
        <v>4.84</v>
      </c>
      <c r="O12" s="41">
        <f t="shared" si="0"/>
        <v>106.27</v>
      </c>
      <c r="P12" s="41">
        <v>106.08</v>
      </c>
      <c r="Q12" s="41">
        <v>106.27</v>
      </c>
      <c r="R12" s="41">
        <v>4.95</v>
      </c>
      <c r="S12" s="41">
        <v>4.79</v>
      </c>
      <c r="T12" s="41">
        <v>101.3</v>
      </c>
      <c r="U12" s="41">
        <v>100.89</v>
      </c>
      <c r="V12" s="41">
        <v>101.26</v>
      </c>
      <c r="W12" s="41">
        <v>5.01</v>
      </c>
      <c r="X12" s="41">
        <v>4.88</v>
      </c>
      <c r="Y12" s="41">
        <v>96.24</v>
      </c>
      <c r="Z12" s="41">
        <v>96.79</v>
      </c>
      <c r="AA12" s="41">
        <v>96.36</v>
      </c>
      <c r="AB12" s="41">
        <v>5.01</v>
      </c>
      <c r="AC12" s="41">
        <v>4.88</v>
      </c>
      <c r="AD12" s="41">
        <v>91.33</v>
      </c>
      <c r="AE12" s="41">
        <v>90.57</v>
      </c>
      <c r="AF12" s="41">
        <v>91.31</v>
      </c>
      <c r="AG12" s="41">
        <v>5</v>
      </c>
      <c r="AH12" s="44">
        <v>5.14</v>
      </c>
      <c r="AI12" s="41">
        <v>81.260000000000005</v>
      </c>
      <c r="AJ12" s="41">
        <v>80.489999999999995</v>
      </c>
      <c r="AK12" s="41">
        <v>81.17</v>
      </c>
      <c r="AL12" s="41">
        <v>5.03</v>
      </c>
      <c r="AM12" s="41">
        <v>5</v>
      </c>
      <c r="AN12" s="41">
        <v>76.14</v>
      </c>
    </row>
    <row r="13" spans="1:40">
      <c r="A13" s="41" t="s">
        <v>35</v>
      </c>
      <c r="B13" s="41">
        <v>573</v>
      </c>
      <c r="C13" s="41">
        <v>10</v>
      </c>
      <c r="D13" s="43">
        <f t="shared" si="1"/>
        <v>1.7452006980802792</v>
      </c>
      <c r="E13" s="41">
        <v>100</v>
      </c>
      <c r="F13" s="74"/>
      <c r="G13" s="41">
        <v>116.48</v>
      </c>
      <c r="H13" s="41">
        <v>5.01</v>
      </c>
      <c r="I13" s="41">
        <v>4.7300000000000004</v>
      </c>
      <c r="J13" s="41">
        <v>111.45</v>
      </c>
      <c r="K13" s="41">
        <v>111.22</v>
      </c>
      <c r="L13" s="41">
        <v>111.45</v>
      </c>
      <c r="M13" s="41">
        <v>5.0199999999999996</v>
      </c>
      <c r="N13" s="41">
        <v>4.74</v>
      </c>
      <c r="O13" s="41">
        <f t="shared" si="0"/>
        <v>106.43</v>
      </c>
      <c r="P13" s="41">
        <v>106.17</v>
      </c>
      <c r="Q13" s="41">
        <v>106.41</v>
      </c>
      <c r="R13" s="41">
        <v>4.9800000000000004</v>
      </c>
      <c r="S13" s="41">
        <v>4.8499999999999996</v>
      </c>
      <c r="T13" s="41">
        <v>101.42</v>
      </c>
      <c r="U13" s="41">
        <v>100.99</v>
      </c>
      <c r="V13" s="41">
        <v>101.42</v>
      </c>
      <c r="W13" s="41">
        <v>5.01</v>
      </c>
      <c r="X13" s="41">
        <v>4.87</v>
      </c>
      <c r="Y13" s="41">
        <v>96.39</v>
      </c>
      <c r="Z13" s="41">
        <v>95.61</v>
      </c>
      <c r="AA13" s="41">
        <v>96.44</v>
      </c>
      <c r="AB13" s="41">
        <v>4.9800000000000004</v>
      </c>
      <c r="AC13" s="41">
        <v>4.95</v>
      </c>
      <c r="AD13" s="41">
        <v>91.43</v>
      </c>
      <c r="AE13" s="41">
        <v>89.09</v>
      </c>
      <c r="AF13" s="41">
        <v>91.4</v>
      </c>
      <c r="AG13" s="41">
        <v>5.05</v>
      </c>
      <c r="AH13" s="41">
        <v>5.0199999999999996</v>
      </c>
      <c r="AI13" s="41">
        <v>86.36</v>
      </c>
      <c r="AJ13" s="41">
        <v>85.29</v>
      </c>
      <c r="AK13" s="41">
        <v>86.33</v>
      </c>
      <c r="AL13" s="41">
        <v>5.0999999999999996</v>
      </c>
      <c r="AM13" s="41">
        <v>5.0599999999999996</v>
      </c>
      <c r="AN13" s="41">
        <v>81.209999999999994</v>
      </c>
    </row>
    <row r="14" spans="1:40">
      <c r="A14" s="74"/>
      <c r="B14" s="74"/>
      <c r="C14" s="74"/>
      <c r="D14" s="74"/>
      <c r="E14" s="74"/>
      <c r="F14" s="74"/>
      <c r="S14" s="44"/>
      <c r="T14" s="41" t="s">
        <v>36</v>
      </c>
    </row>
    <row r="15" spans="1:40">
      <c r="A15" s="41" t="s">
        <v>37</v>
      </c>
      <c r="AE15" s="44"/>
      <c r="AF15" s="41" t="s">
        <v>38</v>
      </c>
    </row>
    <row r="16" spans="1:40">
      <c r="A16" s="41" t="s">
        <v>39</v>
      </c>
      <c r="B16" s="75">
        <v>0</v>
      </c>
      <c r="C16" s="75"/>
      <c r="D16" s="75">
        <v>3</v>
      </c>
      <c r="E16" s="75"/>
      <c r="F16" s="75">
        <v>7</v>
      </c>
      <c r="G16" s="75"/>
      <c r="H16" s="75">
        <v>14</v>
      </c>
      <c r="I16" s="75"/>
      <c r="J16" s="75">
        <v>21</v>
      </c>
      <c r="K16" s="75"/>
      <c r="L16" s="75">
        <v>28</v>
      </c>
      <c r="M16" s="75"/>
      <c r="N16" s="75">
        <v>35</v>
      </c>
      <c r="O16" s="75"/>
    </row>
    <row r="17" spans="1:15">
      <c r="B17" s="41" t="s">
        <v>40</v>
      </c>
      <c r="C17" s="41" t="s">
        <v>22</v>
      </c>
      <c r="D17" s="41" t="s">
        <v>40</v>
      </c>
      <c r="E17" s="41" t="s">
        <v>22</v>
      </c>
      <c r="F17" s="41" t="s">
        <v>40</v>
      </c>
      <c r="G17" s="41" t="s">
        <v>22</v>
      </c>
      <c r="H17" s="41" t="s">
        <v>40</v>
      </c>
      <c r="I17" s="41" t="s">
        <v>22</v>
      </c>
      <c r="J17" s="41" t="s">
        <v>40</v>
      </c>
      <c r="K17" s="41" t="s">
        <v>22</v>
      </c>
      <c r="L17" s="41" t="s">
        <v>40</v>
      </c>
      <c r="M17" s="41" t="s">
        <v>22</v>
      </c>
      <c r="N17" s="41" t="s">
        <v>40</v>
      </c>
      <c r="O17" s="41" t="s">
        <v>22</v>
      </c>
    </row>
    <row r="18" spans="1:15">
      <c r="A18" s="41" t="s">
        <v>24</v>
      </c>
      <c r="B18" s="41">
        <f>N3</f>
        <v>4.79</v>
      </c>
      <c r="C18" s="41">
        <v>4.8662000000000001</v>
      </c>
      <c r="D18" s="41">
        <f>N3</f>
        <v>4.79</v>
      </c>
      <c r="E18" s="41">
        <v>4.8139000000000003</v>
      </c>
      <c r="F18" s="41">
        <f>S3</f>
        <v>4.83</v>
      </c>
      <c r="G18" s="41">
        <v>4.8261000000000003</v>
      </c>
      <c r="H18" s="41">
        <f>X3</f>
        <v>4.92</v>
      </c>
      <c r="I18" s="41">
        <v>5.1978999999999997</v>
      </c>
      <c r="J18" s="41">
        <f>AC3</f>
        <v>5.0599999999999996</v>
      </c>
      <c r="K18" s="41">
        <v>5.1508000000000003</v>
      </c>
      <c r="L18" s="41">
        <f>AH3</f>
        <v>4.92</v>
      </c>
      <c r="M18" s="41">
        <v>4.9143999999999997</v>
      </c>
      <c r="N18" s="41">
        <f>AM3</f>
        <v>4.96</v>
      </c>
      <c r="O18" s="41">
        <v>4.9606000000000003</v>
      </c>
    </row>
    <row r="19" spans="1:15">
      <c r="A19" s="41" t="s">
        <v>26</v>
      </c>
      <c r="B19" s="41">
        <f t="shared" ref="B19:B28" si="2">N4</f>
        <v>4.8600000000000003</v>
      </c>
      <c r="C19" s="41">
        <v>4.8592000000000004</v>
      </c>
      <c r="D19" s="41">
        <f t="shared" ref="D19:D28" si="3">N4</f>
        <v>4.8600000000000003</v>
      </c>
      <c r="E19" s="41">
        <v>4.8606999999999996</v>
      </c>
      <c r="F19" s="41">
        <f t="shared" ref="F19:F28" si="4">S4</f>
        <v>4.71</v>
      </c>
      <c r="G19" s="41">
        <v>4.7188999999999997</v>
      </c>
      <c r="H19" s="41">
        <f t="shared" ref="H19:H28" si="5">X4</f>
        <v>4.87</v>
      </c>
      <c r="I19" s="41">
        <v>4.8693999999999997</v>
      </c>
      <c r="J19" s="41">
        <f t="shared" ref="J19:J28" si="6">AC4</f>
        <v>4.88</v>
      </c>
      <c r="K19" s="41">
        <v>4.8978999999999999</v>
      </c>
      <c r="L19" s="41">
        <f t="shared" ref="L19:L28" si="7">AH4</f>
        <v>4.93</v>
      </c>
      <c r="M19" s="41">
        <v>4.9287999999999998</v>
      </c>
      <c r="N19" s="41">
        <f>AM4</f>
        <v>4.8600000000000003</v>
      </c>
      <c r="O19" s="41">
        <v>4.8655999999999997</v>
      </c>
    </row>
    <row r="20" spans="1:15">
      <c r="A20" s="41" t="s">
        <v>27</v>
      </c>
      <c r="B20" s="41">
        <f t="shared" si="2"/>
        <v>4.82</v>
      </c>
      <c r="C20" s="41">
        <v>4.8156999999999996</v>
      </c>
      <c r="D20" s="41">
        <f t="shared" si="3"/>
        <v>4.82</v>
      </c>
      <c r="E20" s="41">
        <v>4.8274999999999997</v>
      </c>
      <c r="F20" s="41">
        <f t="shared" si="4"/>
        <v>5.24</v>
      </c>
      <c r="G20" s="41">
        <v>5.2643000000000004</v>
      </c>
      <c r="H20" s="41">
        <f t="shared" si="5"/>
        <v>4.95</v>
      </c>
      <c r="I20" s="41">
        <v>5.0983000000000001</v>
      </c>
      <c r="J20" s="41">
        <f t="shared" si="6"/>
        <v>4.83</v>
      </c>
      <c r="K20" s="41">
        <v>4.8395999999999999</v>
      </c>
      <c r="L20" s="41">
        <f t="shared" si="7"/>
        <v>5.0199999999999996</v>
      </c>
      <c r="M20" s="41">
        <v>5.2439999999999998</v>
      </c>
      <c r="N20" s="41">
        <f t="shared" ref="N20:N28" si="8">AM5</f>
        <v>5.0199999999999996</v>
      </c>
      <c r="O20" s="41">
        <v>5.1506999999999996</v>
      </c>
    </row>
    <row r="21" spans="1:15">
      <c r="A21" s="41" t="s">
        <v>28</v>
      </c>
      <c r="B21" s="41">
        <f t="shared" si="2"/>
        <v>4.8</v>
      </c>
      <c r="C21" s="41">
        <v>4.8289</v>
      </c>
      <c r="D21" s="41">
        <f t="shared" si="3"/>
        <v>4.8</v>
      </c>
      <c r="E21" s="41">
        <v>4.8011999999999997</v>
      </c>
      <c r="F21" s="41">
        <f t="shared" si="4"/>
        <v>4.75</v>
      </c>
      <c r="G21" s="41">
        <v>4.8526999999999996</v>
      </c>
      <c r="H21" s="41">
        <f t="shared" si="5"/>
        <v>4.8899999999999997</v>
      </c>
      <c r="I21" s="41">
        <v>4.8849999999999998</v>
      </c>
      <c r="J21" s="41">
        <f t="shared" si="6"/>
        <v>4.8499999999999996</v>
      </c>
      <c r="K21" s="41">
        <v>4.8409000000000004</v>
      </c>
      <c r="L21" s="41">
        <f t="shared" si="7"/>
        <v>5.05</v>
      </c>
      <c r="M21" s="41">
        <v>5.0388000000000002</v>
      </c>
      <c r="N21" s="41">
        <f t="shared" si="8"/>
        <v>4.8899999999999997</v>
      </c>
      <c r="O21" s="41">
        <v>4.8711000000000002</v>
      </c>
    </row>
    <row r="22" spans="1:15">
      <c r="A22" s="41" t="s">
        <v>29</v>
      </c>
      <c r="B22" s="41">
        <f t="shared" si="2"/>
        <v>4.82</v>
      </c>
      <c r="C22" s="41">
        <v>4.8207000000000004</v>
      </c>
      <c r="D22" s="41">
        <f t="shared" si="3"/>
        <v>4.82</v>
      </c>
      <c r="E22" s="41">
        <v>4.8304</v>
      </c>
      <c r="F22" s="41">
        <f t="shared" si="4"/>
        <v>4.87</v>
      </c>
      <c r="G22" s="41">
        <v>4.8712999999999997</v>
      </c>
      <c r="H22" s="41">
        <f t="shared" si="5"/>
        <v>4.79</v>
      </c>
      <c r="I22" s="41">
        <v>4.8072999999999997</v>
      </c>
      <c r="J22" s="41">
        <f t="shared" si="6"/>
        <v>4.9800000000000004</v>
      </c>
      <c r="K22" s="41">
        <v>4.9951999999999996</v>
      </c>
      <c r="L22" s="41">
        <f t="shared" si="7"/>
        <v>4.9800000000000004</v>
      </c>
      <c r="M22" s="41">
        <v>4.9774000000000003</v>
      </c>
      <c r="N22" s="41">
        <f t="shared" si="8"/>
        <v>5</v>
      </c>
      <c r="O22" s="41">
        <v>4.9976000000000003</v>
      </c>
    </row>
    <row r="23" spans="1:15">
      <c r="A23" s="41" t="s">
        <v>30</v>
      </c>
      <c r="B23" s="41">
        <f t="shared" si="2"/>
        <v>4.6900000000000004</v>
      </c>
      <c r="C23" s="41">
        <v>4.7034000000000002</v>
      </c>
      <c r="D23" s="41">
        <f t="shared" si="3"/>
        <v>4.6900000000000004</v>
      </c>
      <c r="E23" s="41">
        <v>4.7081</v>
      </c>
      <c r="F23" s="41">
        <f t="shared" si="4"/>
        <v>4.79</v>
      </c>
      <c r="G23" s="41">
        <v>4.7939999999999996</v>
      </c>
      <c r="H23" s="41">
        <f t="shared" si="5"/>
        <v>4.9400000000000004</v>
      </c>
      <c r="I23" s="41">
        <v>4.9439000000000002</v>
      </c>
      <c r="J23" s="41">
        <f t="shared" si="6"/>
        <v>4.8899999999999997</v>
      </c>
      <c r="K23" s="41">
        <v>4.8894000000000002</v>
      </c>
      <c r="L23" s="41">
        <f t="shared" si="7"/>
        <v>4.9400000000000004</v>
      </c>
      <c r="M23" s="41">
        <v>4.9541000000000004</v>
      </c>
      <c r="N23" s="41">
        <f t="shared" si="8"/>
        <v>4.8600000000000003</v>
      </c>
      <c r="O23" s="41">
        <v>4.8502999999999998</v>
      </c>
    </row>
    <row r="24" spans="1:15">
      <c r="A24" s="41" t="s">
        <v>31</v>
      </c>
      <c r="B24" s="41">
        <f t="shared" si="2"/>
        <v>4.8899999999999997</v>
      </c>
      <c r="C24" s="41">
        <v>5.0072999999999999</v>
      </c>
      <c r="D24" s="41">
        <f t="shared" si="3"/>
        <v>4.8899999999999997</v>
      </c>
      <c r="E24" s="41">
        <v>5.0065</v>
      </c>
      <c r="F24" s="41">
        <f t="shared" si="4"/>
        <v>4.8899999999999997</v>
      </c>
      <c r="G24" s="41">
        <v>4.8929999999999998</v>
      </c>
      <c r="H24" s="41">
        <f t="shared" si="5"/>
        <v>5.03</v>
      </c>
      <c r="I24" s="41">
        <v>5.0255000000000001</v>
      </c>
      <c r="J24" s="41">
        <f t="shared" si="6"/>
        <v>5</v>
      </c>
      <c r="K24" s="41">
        <v>4.9916</v>
      </c>
      <c r="L24" s="41">
        <f t="shared" si="7"/>
        <v>5.04</v>
      </c>
      <c r="M24" s="41">
        <v>5.0399000000000003</v>
      </c>
      <c r="N24" s="41">
        <f t="shared" si="8"/>
        <v>4.92</v>
      </c>
      <c r="O24" s="41">
        <v>4.9207999999999998</v>
      </c>
    </row>
    <row r="25" spans="1:15">
      <c r="A25" s="41" t="s">
        <v>32</v>
      </c>
      <c r="B25" s="41">
        <f t="shared" si="2"/>
        <v>4.79</v>
      </c>
      <c r="C25" s="41">
        <v>4.6289999999999996</v>
      </c>
      <c r="D25" s="41">
        <f t="shared" si="3"/>
        <v>4.79</v>
      </c>
      <c r="E25" s="41">
        <v>4.7965999999999998</v>
      </c>
      <c r="F25" s="41">
        <f t="shared" si="4"/>
        <v>4.84</v>
      </c>
      <c r="G25" s="41">
        <v>4.8361000000000001</v>
      </c>
      <c r="H25" s="41">
        <f t="shared" si="5"/>
        <v>5.03</v>
      </c>
      <c r="I25" s="41">
        <v>5.0216000000000003</v>
      </c>
      <c r="J25" s="41">
        <f t="shared" si="6"/>
        <v>4.84</v>
      </c>
      <c r="K25" s="41">
        <v>4.8418999999999999</v>
      </c>
      <c r="L25" s="41">
        <f t="shared" si="7"/>
        <v>5.03</v>
      </c>
      <c r="M25" s="41">
        <v>5.0307000000000004</v>
      </c>
      <c r="N25" s="41">
        <f t="shared" si="8"/>
        <v>4.9800000000000004</v>
      </c>
      <c r="O25" s="41">
        <v>4.9852999999999996</v>
      </c>
    </row>
    <row r="26" spans="1:15">
      <c r="A26" s="41" t="s">
        <v>33</v>
      </c>
      <c r="B26" s="41">
        <f t="shared" si="2"/>
        <v>4.76</v>
      </c>
      <c r="C26" s="41">
        <v>4.7859999999999996</v>
      </c>
      <c r="D26" s="41">
        <f t="shared" si="3"/>
        <v>4.76</v>
      </c>
      <c r="E26" s="41">
        <v>4.9325000000000001</v>
      </c>
      <c r="F26" s="41">
        <f t="shared" si="4"/>
        <v>4.7699999999999996</v>
      </c>
      <c r="G26" s="41">
        <v>4.7786999999999997</v>
      </c>
      <c r="H26" s="41">
        <f t="shared" si="5"/>
        <v>4.95</v>
      </c>
      <c r="I26" s="41">
        <v>5.25</v>
      </c>
      <c r="J26" s="41">
        <f t="shared" si="6"/>
        <v>4.99</v>
      </c>
      <c r="K26" s="41">
        <v>4.9820000000000002</v>
      </c>
      <c r="L26" s="41">
        <f t="shared" si="7"/>
        <v>4.91</v>
      </c>
      <c r="M26" s="41">
        <v>5.0156999999999998</v>
      </c>
      <c r="N26" s="41">
        <f t="shared" si="8"/>
        <v>4.8899999999999997</v>
      </c>
      <c r="O26" s="41">
        <v>4.8819999999999997</v>
      </c>
    </row>
    <row r="27" spans="1:15">
      <c r="A27" s="41" t="s">
        <v>34</v>
      </c>
      <c r="B27" s="41">
        <f t="shared" si="2"/>
        <v>4.84</v>
      </c>
      <c r="C27" s="41">
        <v>4.8372000000000002</v>
      </c>
      <c r="D27" s="41">
        <f t="shared" si="3"/>
        <v>4.84</v>
      </c>
      <c r="E27" s="41">
        <v>4.8486000000000002</v>
      </c>
      <c r="F27" s="41">
        <f t="shared" si="4"/>
        <v>4.79</v>
      </c>
      <c r="G27" s="41">
        <v>4.7903000000000002</v>
      </c>
      <c r="H27" s="41">
        <f t="shared" si="5"/>
        <v>4.88</v>
      </c>
      <c r="I27" s="41">
        <v>4.9020000000000001</v>
      </c>
      <c r="J27" s="41">
        <f t="shared" si="6"/>
        <v>4.88</v>
      </c>
      <c r="K27" s="41">
        <v>4.8851000000000004</v>
      </c>
      <c r="L27" s="41">
        <f t="shared" si="7"/>
        <v>5.14</v>
      </c>
      <c r="M27" s="41">
        <v>5.1380999999999997</v>
      </c>
      <c r="N27" s="41">
        <f t="shared" si="8"/>
        <v>5</v>
      </c>
      <c r="O27" s="41">
        <v>4.9920999999999998</v>
      </c>
    </row>
    <row r="28" spans="1:15">
      <c r="A28" s="41" t="s">
        <v>35</v>
      </c>
      <c r="B28" s="41">
        <f t="shared" si="2"/>
        <v>4.74</v>
      </c>
      <c r="C28" s="41">
        <v>4.7586000000000004</v>
      </c>
      <c r="D28" s="41">
        <f t="shared" si="3"/>
        <v>4.74</v>
      </c>
      <c r="E28" s="41">
        <v>4.7321999999999997</v>
      </c>
      <c r="F28" s="41">
        <f t="shared" si="4"/>
        <v>4.8499999999999996</v>
      </c>
      <c r="G28" s="41">
        <v>4.8505000000000003</v>
      </c>
      <c r="H28" s="41">
        <f t="shared" si="5"/>
        <v>4.87</v>
      </c>
      <c r="I28" s="41">
        <v>5.1776</v>
      </c>
      <c r="J28" s="41">
        <f t="shared" si="6"/>
        <v>4.95</v>
      </c>
      <c r="K28" s="41">
        <v>4.9474999999999998</v>
      </c>
      <c r="L28" s="41">
        <f t="shared" si="7"/>
        <v>5.0199999999999996</v>
      </c>
      <c r="M28" s="41">
        <v>5.0103</v>
      </c>
      <c r="N28" s="41">
        <f t="shared" si="8"/>
        <v>5.0599999999999996</v>
      </c>
      <c r="O28" s="41">
        <v>5.0468999999999999</v>
      </c>
    </row>
    <row r="29" spans="1:15">
      <c r="G29" s="41" t="s">
        <v>41</v>
      </c>
      <c r="M29" s="41">
        <v>4</v>
      </c>
    </row>
    <row r="30" spans="1:15">
      <c r="B30" s="41" t="s">
        <v>42</v>
      </c>
    </row>
    <row r="31" spans="1:15">
      <c r="B31" s="41" t="s">
        <v>39</v>
      </c>
      <c r="C31" s="41">
        <v>0</v>
      </c>
      <c r="D31" s="41">
        <v>3</v>
      </c>
      <c r="E31" s="41">
        <v>7</v>
      </c>
      <c r="F31" s="41">
        <v>14</v>
      </c>
      <c r="G31" s="41">
        <v>21</v>
      </c>
      <c r="H31" s="41">
        <v>28</v>
      </c>
      <c r="I31" s="41">
        <v>35</v>
      </c>
    </row>
    <row r="32" spans="1:15">
      <c r="B32" s="41" t="s">
        <v>24</v>
      </c>
      <c r="C32" s="41">
        <f>(C18+B18)/(B18)</f>
        <v>2.0159081419624219</v>
      </c>
      <c r="D32" s="41">
        <f>(D18+E18)/D18</f>
        <v>2.0049895615866387</v>
      </c>
      <c r="E32" s="41">
        <f>(F18+G18)/F18</f>
        <v>1.9991925465838509</v>
      </c>
      <c r="F32" s="41">
        <f>(H18+I18)/H18</f>
        <v>2.0564837398373981</v>
      </c>
      <c r="G32" s="41">
        <f>(J18+K18)/J18</f>
        <v>2.0179446640316203</v>
      </c>
      <c r="H32" s="41">
        <f>(L18+M18)/L18</f>
        <v>1.9988617886178859</v>
      </c>
      <c r="I32" s="41">
        <f>(O18+N18)/N18</f>
        <v>2.0001209677419354</v>
      </c>
    </row>
    <row r="33" spans="2:9">
      <c r="B33" s="41" t="s">
        <v>26</v>
      </c>
      <c r="C33" s="41">
        <f t="shared" ref="C33:C42" si="9">(C19+B19)/(B19)</f>
        <v>1.9998353909465021</v>
      </c>
      <c r="D33" s="41">
        <f t="shared" ref="D33:D42" si="10">(D19+E19)/D19</f>
        <v>2.0001440329218108</v>
      </c>
      <c r="E33" s="41">
        <f t="shared" ref="E33:E42" si="11">(F19+G19)/F19</f>
        <v>2.0018895966029722</v>
      </c>
      <c r="F33" s="41">
        <f t="shared" ref="F33:F42" si="12">(H19+I19)/H19</f>
        <v>1.999876796714579</v>
      </c>
      <c r="G33" s="41">
        <f t="shared" ref="G33:G42" si="13">(J19+K19)/J19</f>
        <v>2.003668032786885</v>
      </c>
      <c r="H33" s="41">
        <f t="shared" ref="H33:H42" si="14">(L19+M19)/L19</f>
        <v>1.999756592292089</v>
      </c>
      <c r="I33" s="41">
        <f t="shared" ref="I33:I42" si="15">(O19+N19)/N19</f>
        <v>2.0011522633744856</v>
      </c>
    </row>
    <row r="34" spans="2:9">
      <c r="B34" s="41" t="s">
        <v>27</v>
      </c>
      <c r="C34" s="41">
        <f t="shared" si="9"/>
        <v>1.9991078838174272</v>
      </c>
      <c r="D34" s="41">
        <f t="shared" si="10"/>
        <v>2.0015560165975104</v>
      </c>
      <c r="E34" s="41">
        <f t="shared" si="11"/>
        <v>2.0046374045801527</v>
      </c>
      <c r="F34" s="41">
        <f t="shared" si="12"/>
        <v>2.0299595959595962</v>
      </c>
      <c r="G34" s="41">
        <f t="shared" si="13"/>
        <v>2.0019875776397513</v>
      </c>
      <c r="H34" s="41">
        <f t="shared" si="14"/>
        <v>2.044621513944223</v>
      </c>
      <c r="I34" s="41">
        <f t="shared" si="15"/>
        <v>2.0260358565737056</v>
      </c>
    </row>
    <row r="35" spans="2:9">
      <c r="B35" s="41" t="s">
        <v>28</v>
      </c>
      <c r="C35" s="41">
        <f t="shared" si="9"/>
        <v>2.0060208333333334</v>
      </c>
      <c r="D35" s="41">
        <f t="shared" si="10"/>
        <v>2.0002499999999999</v>
      </c>
      <c r="E35" s="41">
        <f t="shared" si="11"/>
        <v>2.0216210526315788</v>
      </c>
      <c r="F35" s="41">
        <f>(H21+I21)/H21</f>
        <v>1.9989775051124743</v>
      </c>
      <c r="G35" s="41">
        <f t="shared" si="13"/>
        <v>1.9981237113402062</v>
      </c>
      <c r="H35" s="41">
        <f t="shared" si="14"/>
        <v>1.9977821782178218</v>
      </c>
      <c r="I35" s="41">
        <f t="shared" si="15"/>
        <v>1.9961349693251533</v>
      </c>
    </row>
    <row r="36" spans="2:9">
      <c r="B36" s="41" t="s">
        <v>29</v>
      </c>
      <c r="C36" s="41">
        <f t="shared" si="9"/>
        <v>2.0001452282157675</v>
      </c>
      <c r="D36" s="41">
        <f t="shared" si="10"/>
        <v>2.0021576763485478</v>
      </c>
      <c r="E36" s="41">
        <f t="shared" si="11"/>
        <v>2.0002669404517452</v>
      </c>
      <c r="F36" s="41">
        <f t="shared" si="12"/>
        <v>2.0036116910229644</v>
      </c>
      <c r="G36" s="41">
        <f t="shared" si="13"/>
        <v>2.0030522088353413</v>
      </c>
      <c r="H36" s="41">
        <f t="shared" si="14"/>
        <v>1.9994779116465862</v>
      </c>
      <c r="I36" s="41">
        <f t="shared" si="15"/>
        <v>1.99952</v>
      </c>
    </row>
    <row r="37" spans="2:9">
      <c r="B37" s="41" t="s">
        <v>30</v>
      </c>
      <c r="C37" s="41">
        <f t="shared" si="9"/>
        <v>2.0028571428571427</v>
      </c>
      <c r="D37" s="41">
        <f t="shared" si="10"/>
        <v>2.0038592750533044</v>
      </c>
      <c r="E37" s="41">
        <f t="shared" si="11"/>
        <v>2.0008350730688935</v>
      </c>
      <c r="F37" s="41">
        <f t="shared" si="12"/>
        <v>2.0007894736842107</v>
      </c>
      <c r="G37" s="41">
        <f t="shared" si="13"/>
        <v>1.9998773006134969</v>
      </c>
      <c r="H37" s="41">
        <f t="shared" si="14"/>
        <v>2.0028542510121459</v>
      </c>
      <c r="I37" s="41">
        <f t="shared" si="15"/>
        <v>1.9980041152263373</v>
      </c>
    </row>
    <row r="38" spans="2:9">
      <c r="B38" s="41" t="s">
        <v>31</v>
      </c>
      <c r="C38" s="41">
        <f t="shared" si="9"/>
        <v>2.0239877300613496</v>
      </c>
      <c r="D38" s="41">
        <f t="shared" si="10"/>
        <v>2.0238241308793459</v>
      </c>
      <c r="E38" s="41">
        <f t="shared" si="11"/>
        <v>2.0006134969325156</v>
      </c>
      <c r="F38" s="41">
        <f t="shared" si="12"/>
        <v>1.9991053677932404</v>
      </c>
      <c r="G38" s="41">
        <f t="shared" si="13"/>
        <v>1.9983200000000001</v>
      </c>
      <c r="H38" s="41">
        <f t="shared" si="14"/>
        <v>1.9999801587301589</v>
      </c>
      <c r="I38" s="41">
        <f t="shared" si="15"/>
        <v>2.0001626016260161</v>
      </c>
    </row>
    <row r="39" spans="2:9">
      <c r="B39" s="41" t="s">
        <v>32</v>
      </c>
      <c r="C39" s="41">
        <f t="shared" si="9"/>
        <v>1.9663883089770355</v>
      </c>
      <c r="D39" s="41">
        <f t="shared" si="10"/>
        <v>2.0013778705636747</v>
      </c>
      <c r="E39" s="41">
        <f t="shared" si="11"/>
        <v>1.9991942148760331</v>
      </c>
      <c r="F39" s="41">
        <f t="shared" si="12"/>
        <v>1.9983300198807157</v>
      </c>
      <c r="G39" s="41">
        <f t="shared" si="13"/>
        <v>2.000392561983471</v>
      </c>
      <c r="H39" s="41">
        <f t="shared" si="14"/>
        <v>2.0001391650099403</v>
      </c>
      <c r="I39" s="41">
        <f t="shared" si="15"/>
        <v>2.0010642570281121</v>
      </c>
    </row>
    <row r="40" spans="2:9">
      <c r="B40" s="41" t="s">
        <v>33</v>
      </c>
      <c r="C40" s="41">
        <f t="shared" si="9"/>
        <v>2.0054621848739496</v>
      </c>
      <c r="D40" s="41">
        <f t="shared" si="10"/>
        <v>2.0362394957983194</v>
      </c>
      <c r="E40" s="41">
        <f t="shared" si="11"/>
        <v>2.0018238993710695</v>
      </c>
      <c r="F40" s="41">
        <f t="shared" si="12"/>
        <v>2.0606060606060606</v>
      </c>
      <c r="G40" s="41">
        <f t="shared" si="13"/>
        <v>1.9983967935871745</v>
      </c>
      <c r="H40" s="41">
        <f t="shared" si="14"/>
        <v>2.0215274949083502</v>
      </c>
      <c r="I40" s="41">
        <f t="shared" si="15"/>
        <v>1.998364008179959</v>
      </c>
    </row>
    <row r="41" spans="2:9">
      <c r="B41" s="41" t="s">
        <v>34</v>
      </c>
      <c r="C41" s="41">
        <f t="shared" si="9"/>
        <v>1.9994214876033056</v>
      </c>
      <c r="D41" s="41">
        <f t="shared" si="10"/>
        <v>2.0017768595041323</v>
      </c>
      <c r="E41" s="41">
        <f t="shared" si="11"/>
        <v>2.0000626304801674</v>
      </c>
      <c r="F41" s="41">
        <f t="shared" si="12"/>
        <v>2.0045081967213116</v>
      </c>
      <c r="G41" s="41">
        <f t="shared" si="13"/>
        <v>2.0010450819672134</v>
      </c>
      <c r="H41" s="41">
        <f t="shared" si="14"/>
        <v>1.9996303501945523</v>
      </c>
      <c r="I41" s="41">
        <f t="shared" si="15"/>
        <v>1.9984200000000001</v>
      </c>
    </row>
    <row r="42" spans="2:9">
      <c r="B42" s="41" t="s">
        <v>35</v>
      </c>
      <c r="C42" s="41">
        <f t="shared" si="9"/>
        <v>2.0039240506329112</v>
      </c>
      <c r="D42" s="41">
        <f t="shared" si="10"/>
        <v>1.9983544303797469</v>
      </c>
      <c r="E42" s="41">
        <f t="shared" si="11"/>
        <v>2.0001030927835051</v>
      </c>
      <c r="F42" s="41">
        <f t="shared" si="12"/>
        <v>2.0631622176591375</v>
      </c>
      <c r="G42" s="41">
        <f t="shared" si="13"/>
        <v>1.9994949494949497</v>
      </c>
      <c r="H42" s="41">
        <f t="shared" si="14"/>
        <v>1.9980677290836657</v>
      </c>
      <c r="I42" s="41">
        <f t="shared" si="15"/>
        <v>1.997411067193676</v>
      </c>
    </row>
  </sheetData>
  <mergeCells count="14">
    <mergeCell ref="AJ1:AN1"/>
    <mergeCell ref="B16:C16"/>
    <mergeCell ref="D16:E16"/>
    <mergeCell ref="F16:G16"/>
    <mergeCell ref="H16:I16"/>
    <mergeCell ref="J16:K16"/>
    <mergeCell ref="L16:M16"/>
    <mergeCell ref="N16:O16"/>
    <mergeCell ref="G1:J1"/>
    <mergeCell ref="K1:O1"/>
    <mergeCell ref="P1:T1"/>
    <mergeCell ref="U1:Y1"/>
    <mergeCell ref="Z1:AD1"/>
    <mergeCell ref="AE1:A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10D9-DECB-4A0C-95D1-334286234C20}">
  <sheetPr>
    <outlinePr summaryBelow="0"/>
  </sheetPr>
  <dimension ref="A1:Z129"/>
  <sheetViews>
    <sheetView tabSelected="1" topLeftCell="N18" zoomScale="85" zoomScaleNormal="85" workbookViewId="0">
      <selection activeCell="T31" sqref="T31"/>
    </sheetView>
  </sheetViews>
  <sheetFormatPr defaultColWidth="9.140625" defaultRowHeight="15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9" width="10.7109375" customWidth="1"/>
    <col min="14" max="14" width="31.85546875" bestFit="1" customWidth="1"/>
    <col min="15" max="15" width="15.7109375" bestFit="1" customWidth="1"/>
    <col min="17" max="17" width="14.7109375" bestFit="1" customWidth="1"/>
  </cols>
  <sheetData>
    <row r="1" spans="1:26">
      <c r="B1" t="s">
        <v>43</v>
      </c>
    </row>
    <row r="2" spans="1:26" ht="38.25" customHeight="1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2" t="s">
        <v>52</v>
      </c>
      <c r="N2" t="s">
        <v>53</v>
      </c>
      <c r="U2" t="s">
        <v>54</v>
      </c>
    </row>
    <row r="3" spans="1:26" ht="45">
      <c r="A3" s="3">
        <v>1</v>
      </c>
      <c r="B3" s="4" t="s">
        <v>55</v>
      </c>
      <c r="C3" s="5" t="s">
        <v>46</v>
      </c>
      <c r="D3" s="4" t="s">
        <v>56</v>
      </c>
      <c r="E3" s="4" t="s">
        <v>57</v>
      </c>
      <c r="F3" s="4" t="s">
        <v>58</v>
      </c>
      <c r="G3" s="4" t="s">
        <v>59</v>
      </c>
      <c r="H3" s="6"/>
      <c r="I3" s="7">
        <v>1</v>
      </c>
      <c r="N3" s="45" t="s">
        <v>6</v>
      </c>
      <c r="O3" s="19" t="s">
        <v>60</v>
      </c>
      <c r="P3" s="19" t="s">
        <v>61</v>
      </c>
      <c r="Q3" s="20" t="s">
        <v>62</v>
      </c>
      <c r="R3" s="20" t="s">
        <v>63</v>
      </c>
      <c r="S3" s="20" t="s">
        <v>64</v>
      </c>
      <c r="U3" s="19" t="s">
        <v>10</v>
      </c>
      <c r="V3" s="19" t="s">
        <v>60</v>
      </c>
      <c r="W3" s="19" t="s">
        <v>61</v>
      </c>
      <c r="X3" s="20" t="s">
        <v>62</v>
      </c>
      <c r="Y3" s="20" t="s">
        <v>65</v>
      </c>
      <c r="Z3" s="20" t="s">
        <v>64</v>
      </c>
    </row>
    <row r="4" spans="1:26">
      <c r="A4" s="3">
        <v>2</v>
      </c>
      <c r="B4" s="8" t="s">
        <v>66</v>
      </c>
      <c r="C4" s="3" t="s">
        <v>46</v>
      </c>
      <c r="D4" s="8" t="s">
        <v>67</v>
      </c>
      <c r="E4" s="8" t="s">
        <v>57</v>
      </c>
      <c r="F4" s="8" t="s">
        <v>68</v>
      </c>
      <c r="G4" s="8" t="s">
        <v>59</v>
      </c>
      <c r="H4" s="9">
        <v>0.20100000000000001</v>
      </c>
      <c r="I4" s="10">
        <v>1.02411011548921</v>
      </c>
      <c r="N4" s="21" t="s">
        <v>69</v>
      </c>
      <c r="O4" s="22">
        <f>H30</f>
        <v>0.56618087088539204</v>
      </c>
      <c r="P4" s="22">
        <f>H31</f>
        <v>0.59341467023454997</v>
      </c>
      <c r="Q4" s="23">
        <f>H32</f>
        <v>0.53147327067117001</v>
      </c>
      <c r="R4" s="24">
        <f>AVERAGE(O4:Q4)</f>
        <v>0.56368960393037071</v>
      </c>
      <c r="S4" s="25">
        <f>STDEV(O4:Q4)</f>
        <v>3.1045757411415461E-2</v>
      </c>
      <c r="U4" s="21" t="s">
        <v>69</v>
      </c>
      <c r="V4" s="22">
        <f>H41</f>
        <v>0.50036381807399499</v>
      </c>
      <c r="W4" s="22">
        <f>H42</f>
        <v>0.46307502352945501</v>
      </c>
      <c r="X4" s="23">
        <f>H43</f>
        <v>0.38541736879918498</v>
      </c>
      <c r="Y4" s="24">
        <f>AVERAGE(V4:X4)</f>
        <v>0.44961873680087833</v>
      </c>
      <c r="Z4" s="25">
        <f>STDEV(V4:X4)</f>
        <v>5.8642776960278371E-2</v>
      </c>
    </row>
    <row r="5" spans="1:26">
      <c r="A5" s="3">
        <v>3</v>
      </c>
      <c r="B5" s="4" t="s">
        <v>70</v>
      </c>
      <c r="C5" s="5" t="s">
        <v>46</v>
      </c>
      <c r="D5" s="4" t="s">
        <v>71</v>
      </c>
      <c r="E5" s="4" t="s">
        <v>57</v>
      </c>
      <c r="F5" s="4" t="s">
        <v>72</v>
      </c>
      <c r="G5" s="4" t="s">
        <v>59</v>
      </c>
      <c r="H5" s="11">
        <v>0.48428717538722499</v>
      </c>
      <c r="I5" s="7">
        <v>1.1067129723459499</v>
      </c>
      <c r="N5" s="21" t="s">
        <v>73</v>
      </c>
      <c r="O5" s="22">
        <f>H33</f>
        <v>0.564848147357497</v>
      </c>
      <c r="P5" s="22">
        <f>H34</f>
        <v>0.54272743584499406</v>
      </c>
      <c r="Q5" s="23">
        <f>H35</f>
        <v>0.55200079753244802</v>
      </c>
      <c r="R5" s="26">
        <f>AVERAGE(O5:Q5)</f>
        <v>0.55319212691164632</v>
      </c>
      <c r="S5" s="23">
        <f>STDEV(O5:Q5)</f>
        <v>1.1108371560321111E-2</v>
      </c>
      <c r="U5" s="21" t="s">
        <v>73</v>
      </c>
      <c r="V5" s="22">
        <f>H44</f>
        <v>0.73886724710359897</v>
      </c>
      <c r="W5" s="22">
        <f>H48</f>
        <v>0.552117593895735</v>
      </c>
      <c r="X5" s="23">
        <f>H49</f>
        <v>0.61094181760302002</v>
      </c>
      <c r="Y5" s="26">
        <f>AVERAGE(V5:X5)</f>
        <v>0.63397555286745133</v>
      </c>
      <c r="Z5" s="23">
        <f>STDEV(V5:X5)</f>
        <v>9.5481793884951385E-2</v>
      </c>
    </row>
    <row r="6" spans="1:26">
      <c r="A6" s="3">
        <v>4</v>
      </c>
      <c r="B6" s="8" t="s">
        <v>74</v>
      </c>
      <c r="C6" s="3" t="s">
        <v>46</v>
      </c>
      <c r="D6" s="8" t="s">
        <v>75</v>
      </c>
      <c r="E6" s="8" t="s">
        <v>57</v>
      </c>
      <c r="F6" s="8" t="s">
        <v>76</v>
      </c>
      <c r="G6" s="8" t="s">
        <v>59</v>
      </c>
      <c r="H6" s="9">
        <v>1.9867018382475401</v>
      </c>
      <c r="I6" s="10">
        <v>1.03398669731398</v>
      </c>
      <c r="N6" s="21" t="s">
        <v>77</v>
      </c>
      <c r="O6" s="22">
        <f>H36</f>
        <v>0.83255448702257395</v>
      </c>
      <c r="P6" s="22">
        <f>H37</f>
        <v>0.58210027970660905</v>
      </c>
      <c r="Q6" s="23">
        <f>H38</f>
        <v>0.62612185471058401</v>
      </c>
      <c r="R6" s="26">
        <f>AVERAGE(O6:Q6)</f>
        <v>0.68025887381325567</v>
      </c>
      <c r="S6" s="23">
        <f>STDEV(O6:Q6)</f>
        <v>0.13371589329081052</v>
      </c>
      <c r="U6" s="21" t="s">
        <v>77</v>
      </c>
      <c r="V6" s="22">
        <f>H50</f>
        <v>0.63507638438231695</v>
      </c>
      <c r="W6" s="22">
        <f>H51</f>
        <v>0.68377987632257198</v>
      </c>
      <c r="X6" s="23">
        <f>H52</f>
        <v>0.65506145834607199</v>
      </c>
      <c r="Y6" s="26">
        <f>AVERAGE(V6:X6)</f>
        <v>0.65797257301698708</v>
      </c>
      <c r="Z6" s="23">
        <f>STDEV(V6:X6)</f>
        <v>2.4481900932403797E-2</v>
      </c>
    </row>
    <row r="7" spans="1:26">
      <c r="A7" s="3">
        <v>5</v>
      </c>
      <c r="B7" s="4" t="s">
        <v>78</v>
      </c>
      <c r="C7" s="5" t="s">
        <v>46</v>
      </c>
      <c r="D7" s="4" t="s">
        <v>79</v>
      </c>
      <c r="E7" s="4" t="s">
        <v>57</v>
      </c>
      <c r="F7" s="4" t="s">
        <v>80</v>
      </c>
      <c r="G7" s="4" t="s">
        <v>59</v>
      </c>
      <c r="H7" s="11">
        <v>10.001407483229601</v>
      </c>
      <c r="I7" s="7">
        <v>0.99109420150449901</v>
      </c>
      <c r="N7" s="21" t="s">
        <v>81</v>
      </c>
      <c r="O7" s="22">
        <f>H28</f>
        <v>0.48952887168230702</v>
      </c>
      <c r="P7" s="22">
        <f>H29</f>
        <v>0.54123216356039605</v>
      </c>
      <c r="Q7" s="27"/>
      <c r="R7" s="26">
        <f>AVERAGE(O7:P7)</f>
        <v>0.51538051762135151</v>
      </c>
      <c r="S7" s="23">
        <f>STDEV(O7:P7)</f>
        <v>3.6559748296664099E-2</v>
      </c>
      <c r="U7" s="21" t="s">
        <v>81</v>
      </c>
      <c r="V7" s="22">
        <f>H39</f>
        <v>0.50390441900716598</v>
      </c>
      <c r="W7" s="22">
        <f>H40</f>
        <v>0.47868557200355699</v>
      </c>
      <c r="X7" s="27"/>
      <c r="Y7" s="26">
        <f>AVERAGE(V7:W7)</f>
        <v>0.49129499550536149</v>
      </c>
      <c r="Z7" s="23">
        <f>STDEV(V7:W7)</f>
        <v>1.7832417729957962E-2</v>
      </c>
    </row>
    <row r="8" spans="1:26">
      <c r="A8" s="3">
        <v>6</v>
      </c>
      <c r="B8" s="8" t="s">
        <v>82</v>
      </c>
      <c r="C8" s="3" t="s">
        <v>46</v>
      </c>
      <c r="D8" s="8" t="s">
        <v>83</v>
      </c>
      <c r="E8" s="8" t="s">
        <v>57</v>
      </c>
      <c r="F8" s="8" t="s">
        <v>84</v>
      </c>
      <c r="G8" s="8" t="s">
        <v>59</v>
      </c>
      <c r="H8" s="9">
        <v>19.862373514753401</v>
      </c>
      <c r="I8" s="10">
        <v>1.0040203023284799</v>
      </c>
      <c r="N8" s="21"/>
      <c r="O8" s="28"/>
      <c r="P8" s="28"/>
      <c r="Q8" s="27"/>
      <c r="R8" s="21"/>
      <c r="S8" s="23"/>
      <c r="U8" s="21"/>
      <c r="V8" s="28"/>
      <c r="W8" s="28"/>
      <c r="X8" s="27"/>
      <c r="Y8" s="21"/>
      <c r="Z8" s="23"/>
    </row>
    <row r="9" spans="1:26">
      <c r="A9" s="3">
        <v>7</v>
      </c>
      <c r="B9" s="4" t="s">
        <v>85</v>
      </c>
      <c r="C9" s="5" t="s">
        <v>46</v>
      </c>
      <c r="D9" s="4" t="s">
        <v>86</v>
      </c>
      <c r="E9" s="4" t="s">
        <v>57</v>
      </c>
      <c r="F9" s="4" t="s">
        <v>87</v>
      </c>
      <c r="G9" s="4" t="s">
        <v>59</v>
      </c>
      <c r="H9" s="11">
        <v>39.569614954717402</v>
      </c>
      <c r="I9" s="7">
        <v>1.0092317710705301</v>
      </c>
      <c r="N9" s="29" t="s">
        <v>7</v>
      </c>
      <c r="O9" s="19" t="s">
        <v>60</v>
      </c>
      <c r="P9" s="19" t="s">
        <v>61</v>
      </c>
      <c r="Q9" s="20" t="s">
        <v>62</v>
      </c>
      <c r="R9" s="29"/>
      <c r="S9" s="30"/>
      <c r="U9" s="29" t="s">
        <v>11</v>
      </c>
      <c r="V9" s="19" t="s">
        <v>60</v>
      </c>
      <c r="W9" s="19" t="s">
        <v>61</v>
      </c>
      <c r="X9" s="20" t="s">
        <v>62</v>
      </c>
      <c r="Y9" s="29"/>
      <c r="Z9" s="30"/>
    </row>
    <row r="10" spans="1:26">
      <c r="A10" s="3">
        <v>8</v>
      </c>
      <c r="B10" s="12" t="str">
        <f>HYPERLINK("#'Calibration Curves 8'!A1", "Calibration Curves")</f>
        <v>Calibration Curves</v>
      </c>
      <c r="C10" s="3" t="s">
        <v>46</v>
      </c>
      <c r="D10" s="8" t="s">
        <v>86</v>
      </c>
      <c r="E10" s="8" t="s">
        <v>57</v>
      </c>
      <c r="F10" s="8" t="s">
        <v>57</v>
      </c>
      <c r="G10" s="8" t="s">
        <v>57</v>
      </c>
      <c r="H10" s="6"/>
      <c r="I10" s="13"/>
      <c r="N10" s="21" t="s">
        <v>69</v>
      </c>
      <c r="O10" s="22">
        <f>H55</f>
        <v>0.49349616901787502</v>
      </c>
      <c r="P10" s="22">
        <f>H56</f>
        <v>0.50321781316104097</v>
      </c>
      <c r="Q10" s="23">
        <f>H57</f>
        <v>0.53769063230927205</v>
      </c>
      <c r="R10" s="24">
        <f>AVERAGE(O10:Q10)</f>
        <v>0.51146820482939603</v>
      </c>
      <c r="S10" s="25">
        <f>STDEV(O10:Q10)</f>
        <v>2.3223681198608605E-2</v>
      </c>
      <c r="U10" s="21" t="s">
        <v>69</v>
      </c>
      <c r="V10" s="22">
        <f>H102</f>
        <v>0.48050657575822198</v>
      </c>
      <c r="W10" s="22">
        <f>H103</f>
        <v>0.565856859993907</v>
      </c>
      <c r="X10" s="23">
        <f>H104</f>
        <v>0.52994358426204902</v>
      </c>
      <c r="Y10" s="24">
        <f>AVERAGE(V10:X10)</f>
        <v>0.52543567333805929</v>
      </c>
      <c r="Z10" s="25">
        <f>STDEV(V10:X10)</f>
        <v>4.2853339431741196E-2</v>
      </c>
    </row>
    <row r="11" spans="1:26">
      <c r="A11" s="3">
        <v>9</v>
      </c>
      <c r="B11" s="4" t="s">
        <v>88</v>
      </c>
      <c r="C11" s="5" t="s">
        <v>46</v>
      </c>
      <c r="D11" s="4" t="s">
        <v>89</v>
      </c>
      <c r="E11" s="4" t="s">
        <v>57</v>
      </c>
      <c r="F11" s="4" t="s">
        <v>90</v>
      </c>
      <c r="G11" s="4" t="s">
        <v>59</v>
      </c>
      <c r="H11" s="11">
        <v>5.83691769487912E-2</v>
      </c>
      <c r="I11" s="7">
        <v>1.0334563855730201</v>
      </c>
      <c r="N11" s="21" t="s">
        <v>73</v>
      </c>
      <c r="O11" s="22">
        <f>H58</f>
        <v>0.63552911316161798</v>
      </c>
      <c r="P11" s="22">
        <f>H59</f>
        <v>0.55280246700851199</v>
      </c>
      <c r="Q11" s="23">
        <f>H60</f>
        <v>0.51954170616655504</v>
      </c>
      <c r="R11" s="26">
        <f>AVERAGE(O11:Q11)</f>
        <v>0.56929109544556167</v>
      </c>
      <c r="S11" s="23">
        <f>STDEV(O11:Q11)</f>
        <v>5.9725838597385186E-2</v>
      </c>
      <c r="U11" s="21" t="s">
        <v>73</v>
      </c>
      <c r="V11" s="22">
        <f>H105</f>
        <v>0.58910975736154103</v>
      </c>
      <c r="W11" s="22">
        <f>H106</f>
        <v>0.61410972766777305</v>
      </c>
      <c r="X11" s="23">
        <f>H123</f>
        <v>0.50813709630508797</v>
      </c>
      <c r="Y11" s="26">
        <f>AVERAGE(V11:X11)</f>
        <v>0.57045219377813405</v>
      </c>
      <c r="Z11" s="23">
        <f>STDEV(V11:X11)</f>
        <v>5.5395199779715062E-2</v>
      </c>
    </row>
    <row r="12" spans="1:26">
      <c r="A12" s="3">
        <v>10</v>
      </c>
      <c r="B12" s="8" t="s">
        <v>91</v>
      </c>
      <c r="C12" s="3" t="s">
        <v>46</v>
      </c>
      <c r="D12" s="8" t="s">
        <v>92</v>
      </c>
      <c r="E12" s="8" t="s">
        <v>93</v>
      </c>
      <c r="F12" s="8" t="s">
        <v>94</v>
      </c>
      <c r="G12" s="8" t="s">
        <v>59</v>
      </c>
      <c r="H12" s="9">
        <v>10.2238258914174</v>
      </c>
      <c r="I12" s="10">
        <v>0.98344604982768702</v>
      </c>
      <c r="N12" s="21" t="s">
        <v>77</v>
      </c>
      <c r="O12" s="22">
        <f>H61</f>
        <v>0.609879218278219</v>
      </c>
      <c r="P12" s="22">
        <f>H62</f>
        <v>0.62777174786471501</v>
      </c>
      <c r="Q12" s="23">
        <f>H63</f>
        <v>0.63381187433576902</v>
      </c>
      <c r="R12" s="26">
        <f>AVERAGE(O12:Q12)</f>
        <v>0.62382094682623435</v>
      </c>
      <c r="S12" s="23">
        <f>STDEV(O12:Q12)</f>
        <v>1.2445867913749178E-2</v>
      </c>
      <c r="U12" s="21" t="s">
        <v>77</v>
      </c>
      <c r="V12" s="22">
        <f>H124</f>
        <v>0.65921133777199303</v>
      </c>
      <c r="W12" s="22">
        <f>H109</f>
        <v>0.70399494107591798</v>
      </c>
      <c r="X12" s="23">
        <f>H110</f>
        <v>0.68632426925879098</v>
      </c>
      <c r="Y12" s="26">
        <f>AVERAGE(V12:X12)</f>
        <v>0.68317684936890066</v>
      </c>
      <c r="Z12" s="23">
        <f>STDEV(V12:X12)</f>
        <v>2.2557093567064156E-2</v>
      </c>
    </row>
    <row r="13" spans="1:26">
      <c r="A13" s="3">
        <v>11</v>
      </c>
      <c r="B13" s="4" t="s">
        <v>88</v>
      </c>
      <c r="C13" s="5" t="s">
        <v>46</v>
      </c>
      <c r="D13" s="4" t="s">
        <v>95</v>
      </c>
      <c r="E13" s="4" t="s">
        <v>57</v>
      </c>
      <c r="F13" s="4" t="s">
        <v>96</v>
      </c>
      <c r="G13" s="4" t="s">
        <v>59</v>
      </c>
      <c r="H13" s="11">
        <v>3.77377721493702E-2</v>
      </c>
      <c r="I13" s="7">
        <v>1.0027077984711299</v>
      </c>
      <c r="N13" s="21" t="s">
        <v>81</v>
      </c>
      <c r="O13" s="22">
        <f>H53</f>
        <v>0.50579368474262598</v>
      </c>
      <c r="P13" s="22">
        <f>H54</f>
        <v>0.38877321802727099</v>
      </c>
      <c r="Q13" s="27"/>
      <c r="R13" s="26">
        <f>AVERAGE(O13:P13)</f>
        <v>0.44728345138494852</v>
      </c>
      <c r="S13" s="23">
        <f>STDEV(O13:P13)</f>
        <v>8.2745965552042028E-2</v>
      </c>
      <c r="U13" s="21" t="s">
        <v>81</v>
      </c>
      <c r="V13" s="22">
        <f>H96</f>
        <v>0.63644953865679299</v>
      </c>
      <c r="W13" s="22">
        <f>H97</f>
        <v>0.49592437358265901</v>
      </c>
      <c r="X13" s="27"/>
      <c r="Y13" s="26">
        <f>AVERAGE(V13:W13)</f>
        <v>0.56618695611972603</v>
      </c>
      <c r="Z13" s="23">
        <f>STDEV(V13:W13)</f>
        <v>9.9366297151279287E-2</v>
      </c>
    </row>
    <row r="14" spans="1:26">
      <c r="A14" s="3">
        <v>12</v>
      </c>
      <c r="B14" s="8" t="s">
        <v>55</v>
      </c>
      <c r="C14" s="3" t="s">
        <v>46</v>
      </c>
      <c r="D14" s="8" t="s">
        <v>97</v>
      </c>
      <c r="E14" s="8" t="s">
        <v>57</v>
      </c>
      <c r="F14" s="8" t="s">
        <v>98</v>
      </c>
      <c r="G14" s="8" t="s">
        <v>59</v>
      </c>
      <c r="H14" s="6"/>
      <c r="I14" s="10">
        <v>1</v>
      </c>
      <c r="N14" s="21"/>
      <c r="O14" s="28"/>
      <c r="P14" s="28"/>
      <c r="Q14" s="27"/>
      <c r="R14" s="21"/>
      <c r="S14" s="23"/>
      <c r="U14" s="21"/>
      <c r="V14" s="28"/>
      <c r="W14" s="28"/>
      <c r="X14" s="27"/>
      <c r="Y14" s="21"/>
      <c r="Z14" s="23"/>
    </row>
    <row r="15" spans="1:26">
      <c r="A15" s="3">
        <v>13</v>
      </c>
      <c r="B15" s="4" t="s">
        <v>66</v>
      </c>
      <c r="C15" s="5" t="s">
        <v>46</v>
      </c>
      <c r="D15" s="4" t="s">
        <v>99</v>
      </c>
      <c r="E15" s="4" t="s">
        <v>57</v>
      </c>
      <c r="F15" s="4" t="s">
        <v>100</v>
      </c>
      <c r="G15" s="4" t="s">
        <v>59</v>
      </c>
      <c r="H15" s="11">
        <v>0.20100000000000001</v>
      </c>
      <c r="I15" s="7">
        <v>0.96855982828791998</v>
      </c>
      <c r="N15" s="29" t="s">
        <v>8</v>
      </c>
      <c r="O15" s="19" t="s">
        <v>60</v>
      </c>
      <c r="P15" s="19" t="s">
        <v>61</v>
      </c>
      <c r="Q15" s="20" t="s">
        <v>62</v>
      </c>
      <c r="R15" s="19"/>
      <c r="S15" s="30"/>
      <c r="U15" s="29" t="s">
        <v>12</v>
      </c>
      <c r="V15" s="19" t="s">
        <v>60</v>
      </c>
      <c r="W15" s="19" t="s">
        <v>61</v>
      </c>
      <c r="X15" s="20" t="s">
        <v>62</v>
      </c>
      <c r="Y15" s="19"/>
      <c r="Z15" s="30"/>
    </row>
    <row r="16" spans="1:26">
      <c r="A16" s="3">
        <v>14</v>
      </c>
      <c r="B16" s="8" t="s">
        <v>70</v>
      </c>
      <c r="C16" s="3" t="s">
        <v>46</v>
      </c>
      <c r="D16" s="8" t="s">
        <v>101</v>
      </c>
      <c r="E16" s="8" t="s">
        <v>57</v>
      </c>
      <c r="F16" s="8" t="s">
        <v>102</v>
      </c>
      <c r="G16" s="8" t="s">
        <v>59</v>
      </c>
      <c r="H16" s="9">
        <v>0.492230560676718</v>
      </c>
      <c r="I16" s="10">
        <v>0.95580346993684695</v>
      </c>
      <c r="N16" s="21" t="s">
        <v>69</v>
      </c>
      <c r="O16" s="22">
        <f>H66</f>
        <v>0.54275652003989505</v>
      </c>
      <c r="P16" s="22">
        <f>H67</f>
        <v>0.51636429764827096</v>
      </c>
      <c r="Q16" s="23">
        <f>H79</f>
        <v>0.59102417493536497</v>
      </c>
      <c r="R16" s="24">
        <f>AVERAGE(O16:Q16)</f>
        <v>0.55004833087451033</v>
      </c>
      <c r="S16" s="25">
        <f>STDEV(O16:Q16)</f>
        <v>3.7860298441333547E-2</v>
      </c>
      <c r="U16" s="21" t="s">
        <v>69</v>
      </c>
      <c r="V16" s="22">
        <f>H111</f>
        <v>0.508819104560707</v>
      </c>
      <c r="W16" s="22">
        <f>H112</f>
        <v>0.46647986616832898</v>
      </c>
      <c r="X16" s="23">
        <f>H113</f>
        <v>0.53423372337417996</v>
      </c>
      <c r="Y16" s="24">
        <f>AVERAGE(V16:X16)</f>
        <v>0.503177564701072</v>
      </c>
      <c r="Z16" s="25">
        <f>STDEV(V16:X16)</f>
        <v>3.4227423516218672E-2</v>
      </c>
    </row>
    <row r="17" spans="1:26">
      <c r="A17" s="3">
        <v>15</v>
      </c>
      <c r="B17" s="4" t="s">
        <v>74</v>
      </c>
      <c r="C17" s="5" t="s">
        <v>46</v>
      </c>
      <c r="D17" s="4" t="s">
        <v>103</v>
      </c>
      <c r="E17" s="4" t="s">
        <v>57</v>
      </c>
      <c r="F17" s="4" t="s">
        <v>104</v>
      </c>
      <c r="G17" s="4" t="s">
        <v>59</v>
      </c>
      <c r="H17" s="11">
        <v>1.97852549650847</v>
      </c>
      <c r="I17" s="7">
        <v>0.99820383804461998</v>
      </c>
      <c r="N17" s="21" t="s">
        <v>73</v>
      </c>
      <c r="O17" s="22">
        <f>H80</f>
        <v>0.59706790527768605</v>
      </c>
      <c r="P17" s="22">
        <f>H81</f>
        <v>0.58422824614095503</v>
      </c>
      <c r="Q17" s="23">
        <f>H82</f>
        <v>0.55806922704650896</v>
      </c>
      <c r="R17" s="26">
        <f>AVERAGE(O17:Q17)</f>
        <v>0.57978845948838342</v>
      </c>
      <c r="S17" s="23">
        <f>STDEV(O17:Q17)</f>
        <v>1.9874808303100351E-2</v>
      </c>
      <c r="U17" s="21" t="s">
        <v>73</v>
      </c>
      <c r="V17" s="22">
        <f>H114</f>
        <v>0.49140745755155102</v>
      </c>
      <c r="W17" s="22">
        <f>H115</f>
        <v>0.492716850458575</v>
      </c>
      <c r="X17" s="23">
        <f>H125</f>
        <v>0.57547637885541902</v>
      </c>
      <c r="Y17" s="26">
        <f>AVERAGE(V17:X17)</f>
        <v>0.51986689562184829</v>
      </c>
      <c r="Z17" s="23">
        <f>STDEV(V17:X17)</f>
        <v>4.8163675073387258E-2</v>
      </c>
    </row>
    <row r="18" spans="1:26">
      <c r="A18" s="3">
        <v>16</v>
      </c>
      <c r="B18" s="8" t="s">
        <v>78</v>
      </c>
      <c r="C18" s="3" t="s">
        <v>46</v>
      </c>
      <c r="D18" s="8" t="s">
        <v>105</v>
      </c>
      <c r="E18" s="8" t="s">
        <v>57</v>
      </c>
      <c r="F18" s="8" t="s">
        <v>106</v>
      </c>
      <c r="G18" s="8" t="s">
        <v>59</v>
      </c>
      <c r="H18" s="9">
        <v>9.9885674800675197</v>
      </c>
      <c r="I18" s="10">
        <v>0.97475510575924995</v>
      </c>
      <c r="N18" s="21" t="s">
        <v>77</v>
      </c>
      <c r="O18" s="22">
        <f>H129</f>
        <v>0.63249301843982397</v>
      </c>
      <c r="P18" s="22">
        <f>H84</f>
        <v>0.59020020097148695</v>
      </c>
      <c r="Q18" s="23">
        <f>H85</f>
        <v>0.58157033177600204</v>
      </c>
      <c r="R18" s="26">
        <f>AVERAGE(O18:Q18)</f>
        <v>0.60142118372910425</v>
      </c>
      <c r="S18" s="23">
        <f>STDEV(O18:Q18)</f>
        <v>2.7252758480574159E-2</v>
      </c>
      <c r="U18" s="21" t="s">
        <v>77</v>
      </c>
      <c r="V18" s="22">
        <f>H117</f>
        <v>0.557758103683484</v>
      </c>
      <c r="W18" s="22">
        <f>H118</f>
        <v>0.459618127724371</v>
      </c>
      <c r="X18" s="23">
        <f>H119</f>
        <v>0.673362242685552</v>
      </c>
      <c r="Y18" s="26">
        <f>AVERAGE(V18:X18)</f>
        <v>0.56357949136446894</v>
      </c>
      <c r="Z18" s="23">
        <f>STDEV(V18:X18)</f>
        <v>0.10699090188438454</v>
      </c>
    </row>
    <row r="19" spans="1:26">
      <c r="A19" s="3">
        <v>17</v>
      </c>
      <c r="B19" s="4" t="s">
        <v>82</v>
      </c>
      <c r="C19" s="5" t="s">
        <v>46</v>
      </c>
      <c r="D19" s="4" t="s">
        <v>107</v>
      </c>
      <c r="E19" s="4" t="s">
        <v>57</v>
      </c>
      <c r="F19" s="4" t="s">
        <v>108</v>
      </c>
      <c r="G19" s="4" t="s">
        <v>59</v>
      </c>
      <c r="H19" s="11">
        <v>18.542212822362799</v>
      </c>
      <c r="I19" s="7">
        <v>1.14593177961218</v>
      </c>
      <c r="N19" s="21" t="s">
        <v>81</v>
      </c>
      <c r="O19" s="22">
        <f>H64</f>
        <v>0.47937911442637299</v>
      </c>
      <c r="P19" s="22">
        <f>H65</f>
        <v>0.51668331619142205</v>
      </c>
      <c r="Q19" s="27"/>
      <c r="R19" s="26">
        <f>AVERAGE(O19:P19)</f>
        <v>0.49803121530889749</v>
      </c>
      <c r="S19" s="23">
        <f>STDEV(O19:P19)</f>
        <v>2.6378054034817366E-2</v>
      </c>
      <c r="U19" s="21" t="s">
        <v>81</v>
      </c>
      <c r="V19" s="22">
        <f>H111</f>
        <v>0.508819104560707</v>
      </c>
      <c r="W19" s="22">
        <f>H112</f>
        <v>0.46647986616832898</v>
      </c>
      <c r="X19" s="27"/>
      <c r="Y19" s="26">
        <f>AVERAGE(V19:W19)</f>
        <v>0.48764948536451802</v>
      </c>
      <c r="Z19" s="23">
        <f>STDEV(V19:W19)</f>
        <v>2.9938362577524316E-2</v>
      </c>
    </row>
    <row r="20" spans="1:26">
      <c r="A20" s="3">
        <v>18</v>
      </c>
      <c r="B20" s="8" t="s">
        <v>85</v>
      </c>
      <c r="C20" s="3" t="s">
        <v>46</v>
      </c>
      <c r="D20" s="8" t="s">
        <v>109</v>
      </c>
      <c r="E20" s="8" t="s">
        <v>57</v>
      </c>
      <c r="F20" s="8" t="s">
        <v>110</v>
      </c>
      <c r="G20" s="8" t="s">
        <v>59</v>
      </c>
      <c r="H20" s="9">
        <v>41.473279547551499</v>
      </c>
      <c r="I20" s="10">
        <v>1.0068500024784599</v>
      </c>
      <c r="N20" s="21"/>
      <c r="O20" s="28"/>
      <c r="P20" s="28"/>
      <c r="Q20" s="27"/>
      <c r="R20" s="21"/>
      <c r="S20" s="23"/>
      <c r="U20" s="21"/>
      <c r="V20" s="28"/>
      <c r="W20" s="28"/>
      <c r="X20" s="27"/>
      <c r="Y20" s="21"/>
      <c r="Z20" s="23"/>
    </row>
    <row r="21" spans="1:26">
      <c r="A21" s="3">
        <v>19</v>
      </c>
      <c r="B21" s="12" t="str">
        <f>HYPERLINK("#'Calibration Curves 19'!A1", "Calibration Curves")</f>
        <v>Calibration Curves</v>
      </c>
      <c r="C21" s="3" t="s">
        <v>46</v>
      </c>
      <c r="D21" s="8" t="s">
        <v>109</v>
      </c>
      <c r="E21" s="8" t="s">
        <v>57</v>
      </c>
      <c r="F21" s="8" t="s">
        <v>57</v>
      </c>
      <c r="G21" s="8" t="s">
        <v>57</v>
      </c>
      <c r="H21" s="6"/>
      <c r="I21" s="13"/>
      <c r="N21" s="29" t="s">
        <v>9</v>
      </c>
      <c r="O21" s="19" t="s">
        <v>60</v>
      </c>
      <c r="P21" s="19" t="s">
        <v>61</v>
      </c>
      <c r="Q21" s="20" t="s">
        <v>62</v>
      </c>
      <c r="R21" s="19"/>
      <c r="S21" s="30"/>
      <c r="U21" s="29"/>
      <c r="V21" s="19"/>
      <c r="W21" s="19"/>
      <c r="X21" s="20"/>
      <c r="Y21" s="19"/>
      <c r="Z21" s="30"/>
    </row>
    <row r="22" spans="1:26">
      <c r="A22" s="3">
        <v>20</v>
      </c>
      <c r="B22" s="8" t="s">
        <v>88</v>
      </c>
      <c r="C22" s="3" t="s">
        <v>46</v>
      </c>
      <c r="D22" s="8" t="s">
        <v>111</v>
      </c>
      <c r="E22" s="8" t="s">
        <v>57</v>
      </c>
      <c r="F22" s="8" t="s">
        <v>112</v>
      </c>
      <c r="G22" s="8" t="s">
        <v>59</v>
      </c>
      <c r="H22" s="9">
        <v>4.2788400053471098E-3</v>
      </c>
      <c r="I22" s="10">
        <v>1.04298279491076</v>
      </c>
      <c r="N22" s="21" t="s">
        <v>69</v>
      </c>
      <c r="O22" s="22">
        <f>H88</f>
        <v>0.58378214607015899</v>
      </c>
      <c r="P22" s="22">
        <f>H89</f>
        <v>0.51331492414189395</v>
      </c>
      <c r="Q22" s="23">
        <f>H90</f>
        <v>0.503766941590996</v>
      </c>
      <c r="R22" s="24">
        <f>AVERAGE(O22:Q22)</f>
        <v>0.5336213372676829</v>
      </c>
      <c r="S22" s="25">
        <f>STDEV(O22:Q22)</f>
        <v>4.3702071432450196E-2</v>
      </c>
      <c r="U22" s="21"/>
      <c r="V22" s="22"/>
      <c r="W22" s="22"/>
      <c r="X22" s="23"/>
      <c r="Y22" s="26"/>
      <c r="Z22" s="23"/>
    </row>
    <row r="23" spans="1:26">
      <c r="A23" s="3">
        <v>21</v>
      </c>
      <c r="B23" s="4" t="s">
        <v>91</v>
      </c>
      <c r="C23" s="5" t="s">
        <v>46</v>
      </c>
      <c r="D23" s="4" t="s">
        <v>113</v>
      </c>
      <c r="E23" s="4" t="s">
        <v>93</v>
      </c>
      <c r="F23" s="4" t="s">
        <v>114</v>
      </c>
      <c r="G23" s="4" t="s">
        <v>59</v>
      </c>
      <c r="H23" s="11">
        <v>9.9883287929800009</v>
      </c>
      <c r="I23" s="7">
        <v>0.96705418595747805</v>
      </c>
      <c r="N23" s="21" t="s">
        <v>73</v>
      </c>
      <c r="O23" s="22">
        <f>H91</f>
        <v>0.51588777323731105</v>
      </c>
      <c r="P23" s="22">
        <f>H92</f>
        <v>0.58774995749746795</v>
      </c>
      <c r="Q23" s="23">
        <f>H93</f>
        <v>0.53595822361621304</v>
      </c>
      <c r="R23" s="26">
        <f>AVERAGE(O23:Q23)</f>
        <v>0.54653198478366394</v>
      </c>
      <c r="S23" s="23">
        <f>STDEV(O23:Q23)</f>
        <v>3.7079599520220087E-2</v>
      </c>
      <c r="U23" s="21"/>
      <c r="V23" s="22"/>
      <c r="W23" s="22"/>
      <c r="X23" s="23"/>
      <c r="Y23" s="26"/>
      <c r="Z23" s="23"/>
    </row>
    <row r="24" spans="1:26">
      <c r="A24" s="3">
        <v>22</v>
      </c>
      <c r="B24" s="8" t="s">
        <v>88</v>
      </c>
      <c r="C24" s="3" t="s">
        <v>46</v>
      </c>
      <c r="D24" s="8" t="s">
        <v>115</v>
      </c>
      <c r="E24" s="8" t="s">
        <v>57</v>
      </c>
      <c r="F24" s="8" t="s">
        <v>116</v>
      </c>
      <c r="G24" s="8" t="s">
        <v>59</v>
      </c>
      <c r="H24" s="9">
        <v>1.2008238823321201E-3</v>
      </c>
      <c r="I24" s="10">
        <v>0.978902097656425</v>
      </c>
      <c r="N24" s="21" t="s">
        <v>77</v>
      </c>
      <c r="O24" s="22">
        <f>H94</f>
        <v>0.65173680446853499</v>
      </c>
      <c r="P24" s="22">
        <f>H95</f>
        <v>0.59431497626914098</v>
      </c>
      <c r="Q24" s="23">
        <f>H96</f>
        <v>0.63644953865679299</v>
      </c>
      <c r="R24" s="26">
        <f>AVERAGE(O24:Q24)</f>
        <v>0.62750043979815628</v>
      </c>
      <c r="S24" s="23">
        <f>STDEV(O24:Q24)</f>
        <v>2.9738550170215417E-2</v>
      </c>
      <c r="U24" s="21"/>
      <c r="V24" s="22"/>
      <c r="W24" s="22"/>
      <c r="X24" s="23"/>
      <c r="Y24" s="26"/>
      <c r="Z24" s="23"/>
    </row>
    <row r="25" spans="1:26">
      <c r="A25" s="3">
        <v>23</v>
      </c>
      <c r="B25" s="4" t="s">
        <v>117</v>
      </c>
      <c r="C25" s="5" t="s">
        <v>46</v>
      </c>
      <c r="D25" s="4" t="s">
        <v>118</v>
      </c>
      <c r="E25" s="4" t="s">
        <v>57</v>
      </c>
      <c r="F25" s="4" t="s">
        <v>119</v>
      </c>
      <c r="G25" s="4" t="s">
        <v>59</v>
      </c>
      <c r="H25" s="11">
        <v>0.23685454108184201</v>
      </c>
      <c r="I25" s="7">
        <v>0.92757512232271</v>
      </c>
      <c r="N25" s="31" t="s">
        <v>81</v>
      </c>
      <c r="O25" s="32">
        <f>H86</f>
        <v>0.441855460780399</v>
      </c>
      <c r="P25" s="32">
        <f>H87</f>
        <v>0.52306907946880599</v>
      </c>
      <c r="Q25" s="33"/>
      <c r="R25" s="34">
        <f>AVERAGE(O25:P25)</f>
        <v>0.48246227012460252</v>
      </c>
      <c r="S25" s="35">
        <f>STDEV(O25:P25)</f>
        <v>5.7426700499271108E-2</v>
      </c>
      <c r="U25" s="31"/>
      <c r="V25" s="32"/>
      <c r="W25" s="32"/>
      <c r="X25" s="33"/>
      <c r="Y25" s="34"/>
      <c r="Z25" s="35"/>
    </row>
    <row r="26" spans="1:26">
      <c r="A26" s="3">
        <v>24</v>
      </c>
      <c r="B26" s="8" t="s">
        <v>120</v>
      </c>
      <c r="C26" s="3" t="s">
        <v>46</v>
      </c>
      <c r="D26" s="8" t="s">
        <v>121</v>
      </c>
      <c r="E26" s="8" t="s">
        <v>57</v>
      </c>
      <c r="F26" s="8" t="s">
        <v>122</v>
      </c>
      <c r="G26" s="8" t="s">
        <v>59</v>
      </c>
      <c r="H26" s="9">
        <v>0.62954155535682499</v>
      </c>
      <c r="I26" s="10">
        <v>0.93302499289135798</v>
      </c>
    </row>
    <row r="27" spans="1:26">
      <c r="A27" s="3">
        <v>25</v>
      </c>
      <c r="B27" s="4" t="s">
        <v>123</v>
      </c>
      <c r="C27" s="5" t="s">
        <v>46</v>
      </c>
      <c r="D27" s="4" t="s">
        <v>124</v>
      </c>
      <c r="E27" s="4" t="s">
        <v>57</v>
      </c>
      <c r="F27" s="4" t="s">
        <v>125</v>
      </c>
      <c r="G27" s="4" t="s">
        <v>59</v>
      </c>
      <c r="H27" s="11">
        <v>0.88792764455861894</v>
      </c>
      <c r="I27" s="7">
        <v>0.97176701896444895</v>
      </c>
    </row>
    <row r="28" spans="1:26">
      <c r="A28" s="3">
        <v>26</v>
      </c>
      <c r="B28" s="8" t="s">
        <v>126</v>
      </c>
      <c r="C28" s="3" t="s">
        <v>46</v>
      </c>
      <c r="D28" s="8" t="s">
        <v>127</v>
      </c>
      <c r="E28" s="8" t="s">
        <v>57</v>
      </c>
      <c r="F28" s="8" t="s">
        <v>128</v>
      </c>
      <c r="G28" s="8" t="s">
        <v>59</v>
      </c>
      <c r="H28" s="9">
        <v>0.48952887168230702</v>
      </c>
      <c r="I28" s="10">
        <v>0.93059577238204305</v>
      </c>
      <c r="N28" t="s">
        <v>129</v>
      </c>
    </row>
    <row r="29" spans="1:26">
      <c r="A29" s="3">
        <v>27</v>
      </c>
      <c r="B29" s="4" t="s">
        <v>130</v>
      </c>
      <c r="C29" s="5" t="s">
        <v>46</v>
      </c>
      <c r="D29" s="4" t="s">
        <v>131</v>
      </c>
      <c r="E29" s="4" t="s">
        <v>57</v>
      </c>
      <c r="F29" s="4" t="s">
        <v>132</v>
      </c>
      <c r="G29" s="4" t="s">
        <v>59</v>
      </c>
      <c r="H29" s="11">
        <v>0.54123216356039605</v>
      </c>
      <c r="I29" s="7">
        <v>0.903606555922293</v>
      </c>
      <c r="N29" s="29" t="s">
        <v>133</v>
      </c>
      <c r="O29" s="36" t="s">
        <v>134</v>
      </c>
      <c r="P29" s="36" t="s">
        <v>135</v>
      </c>
      <c r="Q29" s="37" t="s">
        <v>136</v>
      </c>
    </row>
    <row r="30" spans="1:26">
      <c r="A30" s="3">
        <v>28</v>
      </c>
      <c r="B30" s="8" t="s">
        <v>137</v>
      </c>
      <c r="C30" s="3" t="s">
        <v>46</v>
      </c>
      <c r="D30" s="8" t="s">
        <v>138</v>
      </c>
      <c r="E30" s="8" t="s">
        <v>57</v>
      </c>
      <c r="F30" s="8" t="s">
        <v>139</v>
      </c>
      <c r="G30" s="8" t="s">
        <v>59</v>
      </c>
      <c r="H30" s="9">
        <v>0.56618087088539204</v>
      </c>
      <c r="I30" s="10">
        <v>0.91954008387020203</v>
      </c>
      <c r="N30" s="21" t="s">
        <v>140</v>
      </c>
      <c r="O30" s="28">
        <v>10</v>
      </c>
      <c r="P30" s="28">
        <v>10</v>
      </c>
      <c r="Q30" s="27">
        <v>10</v>
      </c>
    </row>
    <row r="31" spans="1:26">
      <c r="A31" s="3">
        <v>29</v>
      </c>
      <c r="B31" s="4" t="s">
        <v>141</v>
      </c>
      <c r="C31" s="5" t="s">
        <v>46</v>
      </c>
      <c r="D31" s="4" t="s">
        <v>142</v>
      </c>
      <c r="E31" s="4" t="s">
        <v>57</v>
      </c>
      <c r="F31" s="4" t="s">
        <v>143</v>
      </c>
      <c r="G31" s="4" t="s">
        <v>59</v>
      </c>
      <c r="H31" s="11">
        <v>0.59341467023454997</v>
      </c>
      <c r="I31" s="7">
        <v>0.90714529069314598</v>
      </c>
      <c r="N31" s="21" t="s">
        <v>144</v>
      </c>
      <c r="O31" s="38">
        <v>2.5000000000000001E-3</v>
      </c>
      <c r="P31" s="38">
        <v>7.1999999999999998E-3</v>
      </c>
      <c r="Q31" s="39">
        <v>2.7400000000000001E-2</v>
      </c>
    </row>
    <row r="32" spans="1:26">
      <c r="A32" s="3">
        <v>30</v>
      </c>
      <c r="B32" s="8" t="s">
        <v>145</v>
      </c>
      <c r="C32" s="3" t="s">
        <v>46</v>
      </c>
      <c r="D32" s="8" t="s">
        <v>146</v>
      </c>
      <c r="E32" s="8" t="s">
        <v>57</v>
      </c>
      <c r="F32" s="8" t="s">
        <v>147</v>
      </c>
      <c r="G32" s="8" t="s">
        <v>59</v>
      </c>
      <c r="H32" s="9">
        <v>0.53147327067117001</v>
      </c>
      <c r="I32" s="10">
        <v>0.92346740622963197</v>
      </c>
      <c r="N32" s="31" t="s">
        <v>148</v>
      </c>
      <c r="O32" s="40">
        <f>O31*O30*1000</f>
        <v>25</v>
      </c>
      <c r="P32" s="40">
        <f>P31*P30*1000</f>
        <v>72</v>
      </c>
      <c r="Q32" s="33">
        <f>Q31*Q30*1000</f>
        <v>274</v>
      </c>
    </row>
    <row r="33" spans="1:26">
      <c r="A33" s="3">
        <v>31</v>
      </c>
      <c r="B33" s="4" t="s">
        <v>149</v>
      </c>
      <c r="C33" s="5" t="s">
        <v>46</v>
      </c>
      <c r="D33" s="4" t="s">
        <v>150</v>
      </c>
      <c r="E33" s="4" t="s">
        <v>57</v>
      </c>
      <c r="F33" s="4" t="s">
        <v>151</v>
      </c>
      <c r="G33" s="4" t="s">
        <v>59</v>
      </c>
      <c r="H33" s="11">
        <v>0.564848147357497</v>
      </c>
      <c r="I33" s="7">
        <v>0.94245980096557103</v>
      </c>
    </row>
    <row r="34" spans="1:26">
      <c r="A34" s="3">
        <v>32</v>
      </c>
      <c r="B34" s="8" t="s">
        <v>152</v>
      </c>
      <c r="C34" s="3" t="s">
        <v>46</v>
      </c>
      <c r="D34" s="8" t="s">
        <v>153</v>
      </c>
      <c r="E34" s="8" t="s">
        <v>57</v>
      </c>
      <c r="F34" s="8" t="s">
        <v>154</v>
      </c>
      <c r="G34" s="8" t="s">
        <v>59</v>
      </c>
      <c r="H34" s="9">
        <v>0.54272743584499406</v>
      </c>
      <c r="I34" s="10">
        <v>0.92503818056134801</v>
      </c>
    </row>
    <row r="35" spans="1:26">
      <c r="A35" s="3">
        <v>33</v>
      </c>
      <c r="B35" s="4" t="s">
        <v>155</v>
      </c>
      <c r="C35" s="5" t="s">
        <v>46</v>
      </c>
      <c r="D35" s="4" t="s">
        <v>156</v>
      </c>
      <c r="E35" s="4" t="s">
        <v>57</v>
      </c>
      <c r="F35" s="4" t="s">
        <v>157</v>
      </c>
      <c r="G35" s="4" t="s">
        <v>59</v>
      </c>
      <c r="H35" s="11">
        <v>0.55200079753244802</v>
      </c>
      <c r="I35" s="7">
        <v>0.91597887017176904</v>
      </c>
      <c r="N35" s="28" t="s">
        <v>158</v>
      </c>
    </row>
    <row r="36" spans="1:26">
      <c r="A36" s="3">
        <v>34</v>
      </c>
      <c r="B36" s="8" t="s">
        <v>159</v>
      </c>
      <c r="C36" s="3" t="s">
        <v>46</v>
      </c>
      <c r="D36" s="8" t="s">
        <v>160</v>
      </c>
      <c r="E36" s="8" t="s">
        <v>57</v>
      </c>
      <c r="F36" s="8" t="s">
        <v>161</v>
      </c>
      <c r="G36" s="8" t="s">
        <v>59</v>
      </c>
      <c r="H36" s="9">
        <v>0.83255448702257395</v>
      </c>
      <c r="I36" s="10">
        <v>0.92599606790079003</v>
      </c>
    </row>
    <row r="37" spans="1:26">
      <c r="A37" s="3">
        <v>35</v>
      </c>
      <c r="B37" s="4" t="s">
        <v>162</v>
      </c>
      <c r="C37" s="5" t="s">
        <v>46</v>
      </c>
      <c r="D37" s="4" t="s">
        <v>163</v>
      </c>
      <c r="E37" s="4" t="s">
        <v>57</v>
      </c>
      <c r="F37" s="4" t="s">
        <v>164</v>
      </c>
      <c r="G37" s="4" t="s">
        <v>59</v>
      </c>
      <c r="H37" s="11">
        <v>0.58210027970660905</v>
      </c>
      <c r="I37" s="7">
        <v>0.94167570753777297</v>
      </c>
      <c r="N37" s="45" t="s">
        <v>6</v>
      </c>
      <c r="O37" s="19" t="s">
        <v>60</v>
      </c>
      <c r="P37" s="19" t="s">
        <v>61</v>
      </c>
      <c r="Q37" s="20" t="s">
        <v>62</v>
      </c>
      <c r="R37" s="20" t="s">
        <v>165</v>
      </c>
      <c r="S37" s="20" t="s">
        <v>64</v>
      </c>
      <c r="U37" s="19" t="s">
        <v>10</v>
      </c>
      <c r="V37" s="19" t="s">
        <v>60</v>
      </c>
      <c r="W37" s="19" t="s">
        <v>61</v>
      </c>
      <c r="X37" s="20" t="s">
        <v>62</v>
      </c>
      <c r="Y37" s="20" t="s">
        <v>166</v>
      </c>
      <c r="Z37" s="20" t="s">
        <v>64</v>
      </c>
    </row>
    <row r="38" spans="1:26">
      <c r="A38" s="3">
        <v>36</v>
      </c>
      <c r="B38" s="8" t="s">
        <v>167</v>
      </c>
      <c r="C38" s="3" t="s">
        <v>46</v>
      </c>
      <c r="D38" s="8" t="s">
        <v>168</v>
      </c>
      <c r="E38" s="8" t="s">
        <v>57</v>
      </c>
      <c r="F38" s="8" t="s">
        <v>169</v>
      </c>
      <c r="G38" s="8" t="s">
        <v>59</v>
      </c>
      <c r="H38" s="9">
        <v>0.62612185471058401</v>
      </c>
      <c r="I38" s="10">
        <v>0.92483019169165404</v>
      </c>
      <c r="N38" s="21" t="s">
        <v>69</v>
      </c>
      <c r="O38" s="22">
        <f>O4*'Leaching test 10 ppm c-Se'!C34</f>
        <v>1.1318566426536041</v>
      </c>
      <c r="P38" s="22">
        <f>P4*'Leaching test 10 ppm c-Se'!C35</f>
        <v>1.1904021912961371</v>
      </c>
      <c r="Q38" s="23">
        <f>Q4*'Leaching test 10 ppm c-Se'!C36</f>
        <v>1.0630237262571678</v>
      </c>
      <c r="R38" s="24">
        <f>AVERAGE(O38:Q38)</f>
        <v>1.1284275200689695</v>
      </c>
      <c r="S38" s="25">
        <f>STDEV(O38:Q38)</f>
        <v>6.3758430816609035E-2</v>
      </c>
      <c r="U38" s="21" t="s">
        <v>69</v>
      </c>
      <c r="V38" s="22">
        <f>V4*'Leaching test 10 ppm c-Se'!G34</f>
        <v>1.0017221480845344</v>
      </c>
      <c r="W38" s="22">
        <f>W4*'Leaching test 10 ppm c-Se'!G35</f>
        <v>0.92528118464362796</v>
      </c>
      <c r="X38" s="22">
        <f>X4*'Leaching test 10 ppm c-Se'!G36</f>
        <v>0.77201111189671279</v>
      </c>
      <c r="Y38" s="24">
        <f>AVERAGE(V38:X38)</f>
        <v>0.89967148154162502</v>
      </c>
      <c r="Z38" s="25">
        <f>STDEV(V38:X38)</f>
        <v>0.11697727431578422</v>
      </c>
    </row>
    <row r="39" spans="1:26">
      <c r="A39" s="3">
        <v>37</v>
      </c>
      <c r="B39" s="4" t="s">
        <v>170</v>
      </c>
      <c r="C39" s="5" t="s">
        <v>46</v>
      </c>
      <c r="D39" s="4" t="s">
        <v>171</v>
      </c>
      <c r="E39" s="4" t="s">
        <v>57</v>
      </c>
      <c r="F39" s="4" t="s">
        <v>172</v>
      </c>
      <c r="G39" s="4" t="s">
        <v>59</v>
      </c>
      <c r="H39" s="11">
        <v>0.50390441900716598</v>
      </c>
      <c r="I39" s="7">
        <v>0.92591270110958601</v>
      </c>
      <c r="N39" s="21" t="s">
        <v>73</v>
      </c>
      <c r="O39" s="22">
        <f>O5*'Leaching test 10 ppm c-Se'!C37</f>
        <v>1.1313101465645867</v>
      </c>
      <c r="P39" s="22">
        <f>P5*'Leaching test 10 ppm c-Se'!C38</f>
        <v>1.0984736709179261</v>
      </c>
      <c r="Q39" s="23">
        <f>Q5*'Leaching test 10 ppm c-Se'!C39</f>
        <v>1.0854479148138054</v>
      </c>
      <c r="R39" s="26">
        <f>AVERAGE(O39:Q39)</f>
        <v>1.1050772440987728</v>
      </c>
      <c r="S39" s="23">
        <f>STDEV(O39:Q39)</f>
        <v>2.3633481744268887E-2</v>
      </c>
      <c r="U39" s="21" t="s">
        <v>73</v>
      </c>
      <c r="V39" s="22">
        <f>V5*'Leaching test 10 ppm c-Se'!G37</f>
        <v>1.4776438356492712</v>
      </c>
      <c r="W39" s="22">
        <f>W5*'Leaching test 10 ppm c-Se'!G38</f>
        <v>1.1033076302337252</v>
      </c>
      <c r="X39" s="22">
        <f>X5*'Leaching test 10 ppm c-Se'!G39</f>
        <v>1.2221234677377437</v>
      </c>
      <c r="Y39" s="26">
        <f>AVERAGE(V39:X39)</f>
        <v>1.2676916445402469</v>
      </c>
      <c r="Z39" s="23">
        <f>STDEV(V39:X39)</f>
        <v>0.1912831480399014</v>
      </c>
    </row>
    <row r="40" spans="1:26">
      <c r="A40" s="3">
        <v>38</v>
      </c>
      <c r="B40" s="8" t="s">
        <v>173</v>
      </c>
      <c r="C40" s="3" t="s">
        <v>46</v>
      </c>
      <c r="D40" s="8" t="s">
        <v>174</v>
      </c>
      <c r="E40" s="8" t="s">
        <v>57</v>
      </c>
      <c r="F40" s="8" t="s">
        <v>175</v>
      </c>
      <c r="G40" s="8" t="s">
        <v>59</v>
      </c>
      <c r="H40" s="9">
        <v>0.47868557200355699</v>
      </c>
      <c r="I40" s="10">
        <v>0.933932432759911</v>
      </c>
      <c r="N40" s="21" t="s">
        <v>77</v>
      </c>
      <c r="O40" s="22">
        <f>O12*'Leaching test 10 ppm c-Se'!C40</f>
        <v>1.2230897095974536</v>
      </c>
      <c r="P40" s="22">
        <f>P6*'Leaching test 10 ppm c-Se'!C41</f>
        <v>1.1638638071852885</v>
      </c>
      <c r="Q40" s="23">
        <f>P6*'Leaching test 10 ppm c-Se'!C42</f>
        <v>1.1664847503842186</v>
      </c>
      <c r="R40" s="26">
        <f>AVERAGE(O40:Q40)</f>
        <v>1.1844794223889867</v>
      </c>
      <c r="S40" s="23">
        <f>STDEV(O40:Q40)</f>
        <v>3.3463159512413326E-2</v>
      </c>
      <c r="U40" s="21" t="s">
        <v>77</v>
      </c>
      <c r="V40" s="22">
        <f>V6*'Leaching test 10 ppm c-Se'!G40</f>
        <v>1.269134610232558</v>
      </c>
      <c r="W40" s="22">
        <f>W6*'Leaching test 10 ppm c-Se'!G41</f>
        <v>1.3682743586634321</v>
      </c>
      <c r="X40" s="22">
        <f>X6*'Leaching test 10 ppm c-Se'!G42</f>
        <v>1.3097920775717673</v>
      </c>
      <c r="Y40" s="26">
        <f>AVERAGE(V40:X40)</f>
        <v>1.3157336821559191</v>
      </c>
      <c r="Z40" s="23">
        <f>STDEV(V40:X40)</f>
        <v>4.983622606608628E-2</v>
      </c>
    </row>
    <row r="41" spans="1:26">
      <c r="A41" s="3">
        <v>39</v>
      </c>
      <c r="B41" s="4" t="s">
        <v>176</v>
      </c>
      <c r="C41" s="5" t="s">
        <v>46</v>
      </c>
      <c r="D41" s="4" t="s">
        <v>177</v>
      </c>
      <c r="E41" s="4" t="s">
        <v>57</v>
      </c>
      <c r="F41" s="4" t="s">
        <v>178</v>
      </c>
      <c r="G41" s="4" t="s">
        <v>59</v>
      </c>
      <c r="H41" s="11">
        <v>0.50036381807399499</v>
      </c>
      <c r="I41" s="7">
        <v>0.92038210500615603</v>
      </c>
      <c r="N41" s="21" t="s">
        <v>81</v>
      </c>
      <c r="O41" s="22">
        <f>O13*'Leaching test 10 ppm c-Se'!C32</f>
        <v>1.0196336072258341</v>
      </c>
      <c r="P41" s="22">
        <f>P13*'Leaching test 10 ppm c-Se'!D32</f>
        <v>0.7794862439691248</v>
      </c>
      <c r="Q41" s="27"/>
      <c r="R41" s="26">
        <f>AVERAGE(O41:P41)</f>
        <v>0.89955992559747944</v>
      </c>
      <c r="S41" s="23">
        <f>STDEV(O41:P41)</f>
        <v>0.16980982904288755</v>
      </c>
      <c r="U41" s="21" t="s">
        <v>81</v>
      </c>
      <c r="V41" s="22">
        <f>V7*'Leaching test 10 ppm c-Se'!G32</f>
        <v>1.0168512335174644</v>
      </c>
      <c r="W41" s="22">
        <f>W7*'Leaching test 10 ppm c-Se'!G33</f>
        <v>0.95912697837983185</v>
      </c>
      <c r="X41" s="27"/>
      <c r="Y41" s="26">
        <f>AVERAGE(V41:W41)</f>
        <v>0.98798910594864808</v>
      </c>
      <c r="Z41" s="23">
        <f>STDEV(V41:W41)</f>
        <v>4.0817212246762401E-2</v>
      </c>
    </row>
    <row r="42" spans="1:26">
      <c r="A42" s="3">
        <v>40</v>
      </c>
      <c r="B42" s="8" t="s">
        <v>179</v>
      </c>
      <c r="C42" s="3" t="s">
        <v>46</v>
      </c>
      <c r="D42" s="8" t="s">
        <v>180</v>
      </c>
      <c r="E42" s="8" t="s">
        <v>57</v>
      </c>
      <c r="F42" s="8" t="s">
        <v>181</v>
      </c>
      <c r="G42" s="8" t="s">
        <v>59</v>
      </c>
      <c r="H42" s="9">
        <v>0.46307502352945501</v>
      </c>
      <c r="I42" s="10">
        <v>0.92642753585787396</v>
      </c>
      <c r="N42" s="21"/>
      <c r="O42" s="28"/>
      <c r="P42" s="28"/>
      <c r="Q42" s="27"/>
      <c r="R42" s="21"/>
      <c r="S42" s="23"/>
      <c r="U42" s="21"/>
      <c r="V42" s="28"/>
      <c r="W42" s="28"/>
      <c r="X42" s="27"/>
      <c r="Y42" s="21"/>
      <c r="Z42" s="23"/>
    </row>
    <row r="43" spans="1:26">
      <c r="A43" s="3">
        <v>41</v>
      </c>
      <c r="B43" s="4" t="s">
        <v>182</v>
      </c>
      <c r="C43" s="5" t="s">
        <v>46</v>
      </c>
      <c r="D43" s="4" t="s">
        <v>183</v>
      </c>
      <c r="E43" s="4" t="s">
        <v>57</v>
      </c>
      <c r="F43" s="4" t="s">
        <v>184</v>
      </c>
      <c r="G43" s="4" t="s">
        <v>59</v>
      </c>
      <c r="H43" s="11">
        <v>0.38541736879918498</v>
      </c>
      <c r="I43" s="7">
        <v>1.05302971512871</v>
      </c>
      <c r="N43" s="29" t="s">
        <v>7</v>
      </c>
      <c r="O43" s="19" t="s">
        <v>60</v>
      </c>
      <c r="P43" s="19" t="s">
        <v>61</v>
      </c>
      <c r="Q43" s="20" t="s">
        <v>62</v>
      </c>
      <c r="R43" s="29"/>
      <c r="S43" s="30"/>
      <c r="U43" s="29" t="s">
        <v>11</v>
      </c>
      <c r="V43" s="19" t="s">
        <v>60</v>
      </c>
      <c r="W43" s="19" t="s">
        <v>61</v>
      </c>
      <c r="X43" s="20" t="s">
        <v>62</v>
      </c>
      <c r="Y43" s="29"/>
      <c r="Z43" s="30"/>
    </row>
    <row r="44" spans="1:26">
      <c r="A44" s="3">
        <v>42</v>
      </c>
      <c r="B44" s="8" t="s">
        <v>185</v>
      </c>
      <c r="C44" s="3" t="s">
        <v>46</v>
      </c>
      <c r="D44" s="8" t="s">
        <v>186</v>
      </c>
      <c r="E44" s="8" t="s">
        <v>57</v>
      </c>
      <c r="F44" s="8" t="s">
        <v>187</v>
      </c>
      <c r="G44" s="8" t="s">
        <v>59</v>
      </c>
      <c r="H44" s="9">
        <v>0.73886724710359897</v>
      </c>
      <c r="I44" s="10">
        <v>0.93925164969856301</v>
      </c>
      <c r="N44" s="21" t="s">
        <v>69</v>
      </c>
      <c r="O44" s="22">
        <f>O10*'Leaching test 10 ppm c-Se'!D34</f>
        <v>0.9877602262655496</v>
      </c>
      <c r="P44" s="22">
        <f>P10*'Leaching test 10 ppm c-Se'!D35</f>
        <v>1.0065614307753721</v>
      </c>
      <c r="Q44" s="22">
        <f>Q10*'Leaching test 10 ppm c-Se'!D36</f>
        <v>1.0765414269787135</v>
      </c>
      <c r="R44" s="24">
        <f>AVERAGE(O44:Q44)</f>
        <v>1.023621028006545</v>
      </c>
      <c r="S44" s="25">
        <f>STDEV(O44:Q44)</f>
        <v>4.6784589271309795E-2</v>
      </c>
      <c r="U44" s="21" t="s">
        <v>69</v>
      </c>
      <c r="V44" s="22">
        <f>V10*'Leaching test 10 ppm c-Se'!H34</f>
        <v>0.98245408238693033</v>
      </c>
      <c r="W44" s="22">
        <f>W10*'Leaching test 10 ppm c-Se'!H35</f>
        <v>1.1304587503181245</v>
      </c>
      <c r="X44" s="22">
        <f>X10*'Leaching test 10 ppm c-Se'!H36</f>
        <v>1.0596104911507884</v>
      </c>
      <c r="Y44" s="24">
        <f>AVERAGE(V44:X44)</f>
        <v>1.0575077746186146</v>
      </c>
      <c r="Z44" s="25">
        <f>STDEV(V44:X44)</f>
        <v>7.4024735696703245E-2</v>
      </c>
    </row>
    <row r="45" spans="1:26">
      <c r="A45" s="3">
        <v>43</v>
      </c>
      <c r="B45" s="4" t="s">
        <v>88</v>
      </c>
      <c r="C45" s="5" t="s">
        <v>46</v>
      </c>
      <c r="D45" s="4" t="s">
        <v>188</v>
      </c>
      <c r="E45" s="4" t="s">
        <v>57</v>
      </c>
      <c r="F45" s="4" t="s">
        <v>189</v>
      </c>
      <c r="G45" s="4" t="s">
        <v>59</v>
      </c>
      <c r="H45" s="11">
        <v>1.3456175219739699E-2</v>
      </c>
      <c r="I45" s="7">
        <v>1.01714311571025</v>
      </c>
      <c r="N45" s="21" t="s">
        <v>73</v>
      </c>
      <c r="O45" s="22">
        <f>O11*'Leaching test 10 ppm c-Se'!D37</f>
        <v>1.2735109079753093</v>
      </c>
      <c r="P45" s="22">
        <f>P11*'Leaching test 10 ppm c-Se'!D38</f>
        <v>1.11877497234146</v>
      </c>
      <c r="Q45" s="22">
        <f>Q11*'Leaching test 10 ppm c-Se'!D39</f>
        <v>1.0397992735566384</v>
      </c>
      <c r="R45" s="26">
        <f>AVERAGE(O45:Q45)</f>
        <v>1.144028384624469</v>
      </c>
      <c r="S45" s="23">
        <f>STDEV(O45:Q45)</f>
        <v>0.1188847472959141</v>
      </c>
      <c r="U45" s="21" t="s">
        <v>73</v>
      </c>
      <c r="V45" s="22">
        <f>V11*'Leaching test 10 ppm c-Se'!H37</f>
        <v>1.1799009818442963</v>
      </c>
      <c r="W45" s="22">
        <f>W11*'Leaching test 10 ppm c-Se'!H38</f>
        <v>1.2282072706187275</v>
      </c>
      <c r="X45" s="22">
        <f>X11*'Leaching test 10 ppm c-Se'!H39</f>
        <v>1.0163449075142343</v>
      </c>
      <c r="Y45" s="26">
        <f>AVERAGE(V45:X45)</f>
        <v>1.141484386659086</v>
      </c>
      <c r="Z45" s="23">
        <f>STDEV(V45:X45)</f>
        <v>0.11103283890035984</v>
      </c>
    </row>
    <row r="46" spans="1:26">
      <c r="A46" s="3">
        <v>44</v>
      </c>
      <c r="B46" s="8" t="s">
        <v>91</v>
      </c>
      <c r="C46" s="3" t="s">
        <v>46</v>
      </c>
      <c r="D46" s="8" t="s">
        <v>190</v>
      </c>
      <c r="E46" s="8" t="s">
        <v>93</v>
      </c>
      <c r="F46" s="8" t="s">
        <v>191</v>
      </c>
      <c r="G46" s="8" t="s">
        <v>59</v>
      </c>
      <c r="H46" s="9">
        <v>9.9136168319233295</v>
      </c>
      <c r="I46" s="10">
        <v>0.99185756144175996</v>
      </c>
      <c r="N46" s="21" t="s">
        <v>77</v>
      </c>
      <c r="O46" s="22">
        <f>O12*'Leaching test 10 ppm c-Se'!D40</f>
        <v>1.2418601519247139</v>
      </c>
      <c r="P46" s="22">
        <f>P12*'Leaching test 10 ppm c-Se'!D41</f>
        <v>1.2566589579260492</v>
      </c>
      <c r="Q46" s="22">
        <f>Q12*'Leaching test 10 ppm c-Se'!D42</f>
        <v>1.2665807671061755</v>
      </c>
      <c r="R46" s="26">
        <f>AVERAGE(O46:Q46)</f>
        <v>1.2550332923189795</v>
      </c>
      <c r="S46" s="23">
        <f>STDEV(O46:Q46)</f>
        <v>1.2440228906132902E-2</v>
      </c>
      <c r="U46" s="21" t="s">
        <v>77</v>
      </c>
      <c r="V46" s="22">
        <f>V12*'Leaching test 10 ppm c-Se'!H40</f>
        <v>1.3326138442613993</v>
      </c>
      <c r="W46" s="22">
        <f>W12*'Leaching test 10 ppm c-Se'!H41</f>
        <v>1.407729650558831</v>
      </c>
      <c r="X46" s="22">
        <f>X12*'Leaching test 10 ppm c-Se'!H42</f>
        <v>1.3713223740929188</v>
      </c>
      <c r="Y46" s="26">
        <f>AVERAGE(V46:X46)</f>
        <v>1.3705552896377162</v>
      </c>
      <c r="Z46" s="23">
        <f>STDEV(V46:X46)</f>
        <v>3.7563777803215986E-2</v>
      </c>
    </row>
    <row r="47" spans="1:26">
      <c r="A47" s="3">
        <v>45</v>
      </c>
      <c r="B47" s="4" t="s">
        <v>88</v>
      </c>
      <c r="C47" s="5" t="s">
        <v>46</v>
      </c>
      <c r="D47" s="4" t="s">
        <v>192</v>
      </c>
      <c r="E47" s="4" t="s">
        <v>57</v>
      </c>
      <c r="F47" s="4" t="s">
        <v>193</v>
      </c>
      <c r="G47" s="4" t="s">
        <v>59</v>
      </c>
      <c r="H47" s="11">
        <v>2.1557264860193299E-4</v>
      </c>
      <c r="I47" s="7">
        <v>1.1195315882115799</v>
      </c>
      <c r="N47" s="21" t="s">
        <v>81</v>
      </c>
      <c r="O47" s="22">
        <f>O13*'Leaching test 10 ppm c-Se'!D32</f>
        <v>1.0141110582254083</v>
      </c>
      <c r="P47" s="22">
        <f>P13*'Leaching test 10 ppm c-Se'!D33</f>
        <v>0.77760243219705627</v>
      </c>
      <c r="Q47" s="27"/>
      <c r="R47" s="26">
        <f>AVERAGE(O47:P47)</f>
        <v>0.89585674521123226</v>
      </c>
      <c r="S47" s="23">
        <f>STDEV(O47:P47)</f>
        <v>0.16723685327376062</v>
      </c>
      <c r="U47" s="21" t="s">
        <v>81</v>
      </c>
      <c r="V47" s="22">
        <f>V13*'Leaching test 10 ppm c-Se'!H32</f>
        <v>1.2721746632045456</v>
      </c>
      <c r="W47" s="22">
        <f>W13*'Leaching test 10 ppm c-Se'!H33</f>
        <v>0.99172803535024712</v>
      </c>
      <c r="X47" s="27"/>
      <c r="Y47" s="26">
        <f>AVERAGE(V47:W47)</f>
        <v>1.1319513492773963</v>
      </c>
      <c r="Z47" s="23">
        <f>STDEV(V47:W47)</f>
        <v>0.1983057123166756</v>
      </c>
    </row>
    <row r="48" spans="1:26">
      <c r="A48" s="3">
        <v>46</v>
      </c>
      <c r="B48" s="8" t="s">
        <v>194</v>
      </c>
      <c r="C48" s="3" t="s">
        <v>46</v>
      </c>
      <c r="D48" s="8" t="s">
        <v>195</v>
      </c>
      <c r="E48" s="8" t="s">
        <v>57</v>
      </c>
      <c r="F48" s="8" t="s">
        <v>196</v>
      </c>
      <c r="G48" s="8" t="s">
        <v>59</v>
      </c>
      <c r="H48" s="9">
        <v>0.552117593895735</v>
      </c>
      <c r="I48" s="10">
        <v>0.92350471475553297</v>
      </c>
      <c r="N48" s="21"/>
      <c r="O48" s="28"/>
      <c r="P48" s="28"/>
      <c r="Q48" s="27"/>
      <c r="R48" s="21"/>
      <c r="S48" s="23"/>
      <c r="U48" s="21"/>
      <c r="V48" s="28"/>
      <c r="W48" s="28"/>
      <c r="X48" s="27"/>
      <c r="Y48" s="21"/>
      <c r="Z48" s="23"/>
    </row>
    <row r="49" spans="1:26">
      <c r="A49" s="3">
        <v>47</v>
      </c>
      <c r="B49" s="4" t="s">
        <v>197</v>
      </c>
      <c r="C49" s="5" t="s">
        <v>46</v>
      </c>
      <c r="D49" s="4" t="s">
        <v>198</v>
      </c>
      <c r="E49" s="4" t="s">
        <v>57</v>
      </c>
      <c r="F49" s="4" t="s">
        <v>199</v>
      </c>
      <c r="G49" s="4" t="s">
        <v>59</v>
      </c>
      <c r="H49" s="11">
        <v>0.61094181760302002</v>
      </c>
      <c r="I49" s="7">
        <v>0.92876703784910897</v>
      </c>
      <c r="N49" s="29" t="s">
        <v>8</v>
      </c>
      <c r="O49" s="19" t="s">
        <v>60</v>
      </c>
      <c r="P49" s="19" t="s">
        <v>61</v>
      </c>
      <c r="Q49" s="20" t="s">
        <v>62</v>
      </c>
      <c r="R49" s="19"/>
      <c r="S49" s="30"/>
      <c r="U49" s="29" t="s">
        <v>12</v>
      </c>
      <c r="V49" s="19" t="s">
        <v>60</v>
      </c>
      <c r="W49" s="19" t="s">
        <v>61</v>
      </c>
      <c r="X49" s="20" t="s">
        <v>62</v>
      </c>
      <c r="Y49" s="19"/>
      <c r="Z49" s="30"/>
    </row>
    <row r="50" spans="1:26">
      <c r="A50" s="3">
        <v>48</v>
      </c>
      <c r="B50" s="8" t="s">
        <v>200</v>
      </c>
      <c r="C50" s="3" t="s">
        <v>46</v>
      </c>
      <c r="D50" s="8" t="s">
        <v>201</v>
      </c>
      <c r="E50" s="8" t="s">
        <v>57</v>
      </c>
      <c r="F50" s="8" t="s">
        <v>202</v>
      </c>
      <c r="G50" s="8" t="s">
        <v>59</v>
      </c>
      <c r="H50" s="9">
        <v>0.63507638438231695</v>
      </c>
      <c r="I50" s="10">
        <v>0.96076026357387001</v>
      </c>
      <c r="N50" s="21" t="s">
        <v>69</v>
      </c>
      <c r="O50" s="22">
        <f>O16*'Leaching test 10 ppm c-Se'!E34</f>
        <v>1.0880300216517309</v>
      </c>
      <c r="P50" s="22">
        <f>P16*'Leaching test 10 ppm c-Se'!E35</f>
        <v>1.0438929349530635</v>
      </c>
      <c r="Q50" s="22">
        <f>Q16*'Leaching test 10 ppm c-Se'!E36</f>
        <v>1.1822061181309795</v>
      </c>
      <c r="R50" s="24">
        <f>AVERAGE(O50:Q50)</f>
        <v>1.1047096915785912</v>
      </c>
      <c r="S50" s="25">
        <f>STDEV(O50:Q50)</f>
        <v>7.0649081394266552E-2</v>
      </c>
      <c r="U50" s="21" t="s">
        <v>69</v>
      </c>
      <c r="V50" s="22">
        <f>V16*'Leaching test 10 ppm c-Se'!I34</f>
        <v>1.030885750349718</v>
      </c>
      <c r="W50" s="22">
        <f>W16*'Leaching test 10 ppm c-Se'!I35</f>
        <v>0.93115677334471902</v>
      </c>
      <c r="X50" s="22">
        <f>X16*'Leaching test 10 ppm c-Se'!I36</f>
        <v>1.0682110145611403</v>
      </c>
      <c r="Y50" s="24">
        <f>AVERAGE(V50:X50)</f>
        <v>1.010084512751859</v>
      </c>
      <c r="Z50" s="25">
        <f>STDEV(V50:X50)</f>
        <v>7.0855379986661429E-2</v>
      </c>
    </row>
    <row r="51" spans="1:26">
      <c r="A51" s="3">
        <v>49</v>
      </c>
      <c r="B51" s="4" t="s">
        <v>203</v>
      </c>
      <c r="C51" s="5" t="s">
        <v>46</v>
      </c>
      <c r="D51" s="4" t="s">
        <v>204</v>
      </c>
      <c r="E51" s="4" t="s">
        <v>57</v>
      </c>
      <c r="F51" s="4" t="s">
        <v>205</v>
      </c>
      <c r="G51" s="4" t="s">
        <v>59</v>
      </c>
      <c r="H51" s="11">
        <v>0.68377987632257198</v>
      </c>
      <c r="I51" s="7">
        <v>0.95389139479942697</v>
      </c>
      <c r="N51" s="21" t="s">
        <v>73</v>
      </c>
      <c r="O51" s="22">
        <f>O17*'Leaching test 10 ppm c-Se'!E37</f>
        <v>1.1946344058833702</v>
      </c>
      <c r="P51" s="22">
        <f>P17*'Leaching test 10 ppm c-Se'!E38</f>
        <v>1.1688149145188065</v>
      </c>
      <c r="Q51" s="22">
        <f>Q17*'Leaching test 10 ppm c-Se'!E39</f>
        <v>1.1156887702117202</v>
      </c>
      <c r="R51" s="26">
        <f>AVERAGE(O51:Q51)</f>
        <v>1.159712696871299</v>
      </c>
      <c r="S51" s="23">
        <f>STDEV(O51:Q51)</f>
        <v>4.0252218851600879E-2</v>
      </c>
      <c r="U51" s="21" t="s">
        <v>73</v>
      </c>
      <c r="V51" s="22">
        <f>V17*'Leaching test 10 ppm c-Se'!I37</f>
        <v>0.98183412244091062</v>
      </c>
      <c r="W51" s="22">
        <f>W17*'Leaching test 10 ppm c-Se'!I38</f>
        <v>0.9855138174782001</v>
      </c>
      <c r="X51" s="22">
        <f>X17*'Leaching test 10 ppm c-Se'!I39</f>
        <v>1.1515652124915474</v>
      </c>
      <c r="Y51" s="26">
        <f>AVERAGE(V51:X51)</f>
        <v>1.0396377174702194</v>
      </c>
      <c r="Z51" s="23">
        <f>STDEV(V51:X51)</f>
        <v>9.6949513383017674E-2</v>
      </c>
    </row>
    <row r="52" spans="1:26">
      <c r="A52" s="3">
        <v>50</v>
      </c>
      <c r="B52" s="8" t="s">
        <v>206</v>
      </c>
      <c r="C52" s="3" t="s">
        <v>46</v>
      </c>
      <c r="D52" s="8" t="s">
        <v>207</v>
      </c>
      <c r="E52" s="8" t="s">
        <v>57</v>
      </c>
      <c r="F52" s="8" t="s">
        <v>208</v>
      </c>
      <c r="G52" s="8" t="s">
        <v>59</v>
      </c>
      <c r="H52" s="9">
        <v>0.65506145834607199</v>
      </c>
      <c r="I52" s="10">
        <v>0.95906709197412798</v>
      </c>
      <c r="N52" s="21" t="s">
        <v>77</v>
      </c>
      <c r="O52" s="22">
        <f>O18*'Leaching test 10 ppm c-Se'!E40</f>
        <v>1.2661396404981862</v>
      </c>
      <c r="P52" s="22">
        <f>P18*'Leaching test 10 ppm c-Se'!E41</f>
        <v>1.1804373664649557</v>
      </c>
      <c r="Q52" s="22">
        <f>Q18*'Leaching test 10 ppm c-Se'!E42</f>
        <v>1.1632006192563109</v>
      </c>
      <c r="R52" s="26">
        <f>AVERAGE(O52:Q52)</f>
        <v>1.2032592087398175</v>
      </c>
      <c r="S52" s="23">
        <f>STDEV(O52:Q52)</f>
        <v>5.5133817999235432E-2</v>
      </c>
      <c r="U52" s="21" t="s">
        <v>77</v>
      </c>
      <c r="V52" s="22">
        <f>V18*'Leaching test 10 ppm c-Se'!I40</f>
        <v>1.1146037196717802</v>
      </c>
      <c r="W52" s="22">
        <f>W18*'Leaching test 10 ppm c-Se'!I41</f>
        <v>0.91851005880693748</v>
      </c>
      <c r="X52" s="22">
        <f>X18*'Leaching test 10 ppm c-Se'!I42</f>
        <v>1.3449811957704756</v>
      </c>
      <c r="Y52" s="26">
        <f>AVERAGE(V52:X52)</f>
        <v>1.1260316580830645</v>
      </c>
      <c r="Z52" s="23">
        <f>STDEV(V52:X52)</f>
        <v>0.21346511658346506</v>
      </c>
    </row>
    <row r="53" spans="1:26">
      <c r="A53" s="3">
        <v>51</v>
      </c>
      <c r="B53" s="4" t="s">
        <v>209</v>
      </c>
      <c r="C53" s="5" t="s">
        <v>46</v>
      </c>
      <c r="D53" s="4" t="s">
        <v>210</v>
      </c>
      <c r="E53" s="4" t="s">
        <v>57</v>
      </c>
      <c r="F53" s="4" t="s">
        <v>211</v>
      </c>
      <c r="G53" s="4" t="s">
        <v>59</v>
      </c>
      <c r="H53" s="11">
        <v>0.50579368474262598</v>
      </c>
      <c r="I53" s="7">
        <v>0.92171150485096898</v>
      </c>
      <c r="N53" s="21" t="s">
        <v>81</v>
      </c>
      <c r="O53" s="22">
        <f>O19*'Leaching test 10 ppm c-Se'!E32</f>
        <v>0.95837115254917193</v>
      </c>
      <c r="P53" s="22">
        <f>P19*'Leaching test 10 ppm c-Se'!E33</f>
        <v>1.0343429554219319</v>
      </c>
      <c r="Q53" s="27"/>
      <c r="R53" s="26">
        <f>AVERAGE(O53:P53)</f>
        <v>0.99635705398555197</v>
      </c>
      <c r="S53" s="23">
        <f>STDEV(O53:P53)</f>
        <v>5.3720176990296194E-2</v>
      </c>
      <c r="U53" s="21" t="s">
        <v>81</v>
      </c>
      <c r="V53" s="22">
        <f>V19*'Leaching test 10 ppm c-Se'!I32</f>
        <v>1.0176997598195463</v>
      </c>
      <c r="W53" s="22">
        <f>W19*'Leaching test 10 ppm c-Se'!I33</f>
        <v>0.93349724000137868</v>
      </c>
      <c r="X53" s="27"/>
      <c r="Y53" s="26">
        <f>AVERAGE(V53:W53)</f>
        <v>0.97559849991046255</v>
      </c>
      <c r="Z53" s="23">
        <f>STDEV(V53:W53)</f>
        <v>5.9540172756420984E-2</v>
      </c>
    </row>
    <row r="54" spans="1:26">
      <c r="A54" s="3">
        <v>52</v>
      </c>
      <c r="B54" s="8" t="s">
        <v>212</v>
      </c>
      <c r="C54" s="3" t="s">
        <v>46</v>
      </c>
      <c r="D54" s="8" t="s">
        <v>213</v>
      </c>
      <c r="E54" s="8" t="s">
        <v>57</v>
      </c>
      <c r="F54" s="8" t="s">
        <v>214</v>
      </c>
      <c r="G54" s="8" t="s">
        <v>59</v>
      </c>
      <c r="H54" s="9">
        <v>0.38877321802727099</v>
      </c>
      <c r="I54" s="10">
        <v>1.0543043878857601</v>
      </c>
      <c r="N54" s="21"/>
      <c r="O54" s="28"/>
      <c r="P54" s="28"/>
      <c r="Q54" s="27"/>
      <c r="R54" s="21"/>
      <c r="S54" s="23"/>
      <c r="U54" s="21"/>
      <c r="V54" s="28"/>
      <c r="W54" s="28"/>
      <c r="X54" s="27"/>
      <c r="Y54" s="21"/>
      <c r="Z54" s="23"/>
    </row>
    <row r="55" spans="1:26">
      <c r="A55" s="3">
        <v>53</v>
      </c>
      <c r="B55" s="4" t="s">
        <v>215</v>
      </c>
      <c r="C55" s="5" t="s">
        <v>46</v>
      </c>
      <c r="D55" s="4" t="s">
        <v>216</v>
      </c>
      <c r="E55" s="4" t="s">
        <v>57</v>
      </c>
      <c r="F55" s="4" t="s">
        <v>217</v>
      </c>
      <c r="G55" s="4" t="s">
        <v>59</v>
      </c>
      <c r="H55" s="11">
        <v>0.49349616901787502</v>
      </c>
      <c r="I55" s="7">
        <v>0.94689323613089404</v>
      </c>
      <c r="N55" s="29" t="s">
        <v>9</v>
      </c>
      <c r="O55" s="19" t="s">
        <v>60</v>
      </c>
      <c r="P55" s="19" t="s">
        <v>61</v>
      </c>
      <c r="Q55" s="20" t="s">
        <v>62</v>
      </c>
      <c r="R55" s="19"/>
      <c r="S55" s="30"/>
      <c r="U55" s="29"/>
      <c r="V55" s="19"/>
      <c r="W55" s="19"/>
      <c r="X55" s="20"/>
      <c r="Y55" s="19"/>
      <c r="Z55" s="30"/>
    </row>
    <row r="56" spans="1:26">
      <c r="A56" s="3">
        <v>54</v>
      </c>
      <c r="B56" s="8" t="s">
        <v>218</v>
      </c>
      <c r="C56" s="3" t="s">
        <v>46</v>
      </c>
      <c r="D56" s="8" t="s">
        <v>219</v>
      </c>
      <c r="E56" s="8" t="s">
        <v>57</v>
      </c>
      <c r="F56" s="8" t="s">
        <v>220</v>
      </c>
      <c r="G56" s="8" t="s">
        <v>59</v>
      </c>
      <c r="H56" s="9">
        <v>0.50321781316104097</v>
      </c>
      <c r="I56" s="10">
        <v>0.97058281153642401</v>
      </c>
      <c r="N56" s="21" t="s">
        <v>69</v>
      </c>
      <c r="O56" s="22">
        <f>O22*'Leaching test 10 ppm c-Se'!F34</f>
        <v>1.1850541693650058</v>
      </c>
      <c r="P56" s="22">
        <f>P22*'Leaching test 10 ppm c-Se'!F35</f>
        <v>1.0261049863981622</v>
      </c>
      <c r="Q56" s="22">
        <f>Q22*'Leaching test 10 ppm c-Se'!F36</f>
        <v>1.0093533337226024</v>
      </c>
      <c r="R56" s="24">
        <f>AVERAGE(O56:Q56)</f>
        <v>1.0735041631619235</v>
      </c>
      <c r="S56" s="25">
        <f>STDEV(O56:Q56)</f>
        <v>9.696755838821268E-2</v>
      </c>
      <c r="U56" s="21"/>
      <c r="V56" s="22"/>
      <c r="W56" s="22"/>
      <c r="X56" s="23"/>
      <c r="Y56" s="26"/>
      <c r="Z56" s="23"/>
    </row>
    <row r="57" spans="1:26">
      <c r="A57" s="3">
        <v>55</v>
      </c>
      <c r="B57" s="4" t="s">
        <v>221</v>
      </c>
      <c r="C57" s="5" t="s">
        <v>46</v>
      </c>
      <c r="D57" s="4" t="s">
        <v>222</v>
      </c>
      <c r="E57" s="4" t="s">
        <v>57</v>
      </c>
      <c r="F57" s="4" t="s">
        <v>223</v>
      </c>
      <c r="G57" s="4" t="s">
        <v>59</v>
      </c>
      <c r="H57" s="11">
        <v>0.53769063230927205</v>
      </c>
      <c r="I57" s="7">
        <v>0.96811658941355105</v>
      </c>
      <c r="N57" s="21" t="s">
        <v>73</v>
      </c>
      <c r="O57" s="22">
        <f>O23*'Leaching test 10 ppm c-Se'!F37</f>
        <v>1.032182826295599</v>
      </c>
      <c r="P57" s="22">
        <f>P23*'Leaching test 10 ppm c-Se'!F38</f>
        <v>1.1749740949534371</v>
      </c>
      <c r="Q57" s="22">
        <f>Q23*'Leaching test 10 ppm c-Se'!F39</f>
        <v>1.0710214076542202</v>
      </c>
      <c r="R57" s="26">
        <f>AVERAGE(O57:Q57)</f>
        <v>1.0927261096344187</v>
      </c>
      <c r="S57" s="23">
        <f>STDEV(O57:Q57)</f>
        <v>7.3828566065349321E-2</v>
      </c>
      <c r="U57" s="21"/>
      <c r="V57" s="22"/>
      <c r="W57" s="22"/>
      <c r="X57" s="23"/>
      <c r="Y57" s="26"/>
      <c r="Z57" s="23"/>
    </row>
    <row r="58" spans="1:26">
      <c r="A58" s="3">
        <v>56</v>
      </c>
      <c r="B58" s="8" t="s">
        <v>224</v>
      </c>
      <c r="C58" s="3" t="s">
        <v>46</v>
      </c>
      <c r="D58" s="8" t="s">
        <v>225</v>
      </c>
      <c r="E58" s="8" t="s">
        <v>57</v>
      </c>
      <c r="F58" s="8" t="s">
        <v>226</v>
      </c>
      <c r="G58" s="8" t="s">
        <v>59</v>
      </c>
      <c r="H58" s="9">
        <v>0.63552911316161798</v>
      </c>
      <c r="I58" s="10">
        <v>0.94025867653353801</v>
      </c>
      <c r="N58" s="21" t="s">
        <v>77</v>
      </c>
      <c r="O58" s="22">
        <f>O24*'Leaching test 10 ppm c-Se'!F40</f>
        <v>1.3429728092078903</v>
      </c>
      <c r="P58" s="22">
        <f>P24*'Leaching test 10 ppm c-Se'!F41</f>
        <v>1.1913092413657249</v>
      </c>
      <c r="Q58" s="22">
        <f>Q24*'Leaching test 10 ppm c-Se'!F42</f>
        <v>1.3130986416032839</v>
      </c>
      <c r="R58" s="26">
        <f>AVERAGE(O58:Q58)</f>
        <v>1.282460230725633</v>
      </c>
      <c r="S58" s="23">
        <f>STDEV(O58:Q58)</f>
        <v>8.0339863196825234E-2</v>
      </c>
      <c r="U58" s="21"/>
      <c r="V58" s="22"/>
      <c r="W58" s="22"/>
      <c r="X58" s="23"/>
      <c r="Y58" s="26"/>
      <c r="Z58" s="23"/>
    </row>
    <row r="59" spans="1:26">
      <c r="A59" s="3">
        <v>57</v>
      </c>
      <c r="B59" s="4" t="s">
        <v>227</v>
      </c>
      <c r="C59" s="5" t="s">
        <v>46</v>
      </c>
      <c r="D59" s="4" t="s">
        <v>228</v>
      </c>
      <c r="E59" s="4" t="s">
        <v>57</v>
      </c>
      <c r="F59" s="4" t="s">
        <v>229</v>
      </c>
      <c r="G59" s="4" t="s">
        <v>59</v>
      </c>
      <c r="H59" s="11">
        <v>0.55280246700851199</v>
      </c>
      <c r="I59" s="7">
        <v>0.95365363401488101</v>
      </c>
      <c r="N59" s="31" t="s">
        <v>81</v>
      </c>
      <c r="O59" s="32">
        <f>O25*'Leaching test 10 ppm c-Se'!F32</f>
        <v>0.90866857045325167</v>
      </c>
      <c r="P59" s="32">
        <f>P25*'Leaching test 10 ppm c-Se'!F33</f>
        <v>1.0460737151085193</v>
      </c>
      <c r="Q59" s="33"/>
      <c r="R59" s="34">
        <f>AVERAGE(O59:P59)</f>
        <v>0.97737114278088555</v>
      </c>
      <c r="S59" s="35">
        <f>STDEV(O59:P59)</f>
        <v>9.716010955565825E-2</v>
      </c>
      <c r="U59" s="31"/>
      <c r="V59" s="32"/>
      <c r="W59" s="32"/>
      <c r="X59" s="33"/>
      <c r="Y59" s="34"/>
      <c r="Z59" s="35"/>
    </row>
    <row r="60" spans="1:26">
      <c r="A60" s="3">
        <v>58</v>
      </c>
      <c r="B60" s="8" t="s">
        <v>230</v>
      </c>
      <c r="C60" s="3" t="s">
        <v>46</v>
      </c>
      <c r="D60" s="8" t="s">
        <v>231</v>
      </c>
      <c r="E60" s="8" t="s">
        <v>57</v>
      </c>
      <c r="F60" s="8" t="s">
        <v>232</v>
      </c>
      <c r="G60" s="8" t="s">
        <v>59</v>
      </c>
      <c r="H60" s="9">
        <v>0.51954170616655504</v>
      </c>
      <c r="I60" s="10">
        <v>0.96714275394945204</v>
      </c>
    </row>
    <row r="61" spans="1:26">
      <c r="A61" s="3">
        <v>59</v>
      </c>
      <c r="B61" s="4" t="s">
        <v>233</v>
      </c>
      <c r="C61" s="5" t="s">
        <v>46</v>
      </c>
      <c r="D61" s="4" t="s">
        <v>234</v>
      </c>
      <c r="E61" s="4" t="s">
        <v>57</v>
      </c>
      <c r="F61" s="4" t="s">
        <v>235</v>
      </c>
      <c r="G61" s="4" t="s">
        <v>59</v>
      </c>
      <c r="H61" s="11">
        <v>0.609879218278219</v>
      </c>
      <c r="I61" s="7">
        <v>0.95259602656548703</v>
      </c>
      <c r="N61" s="28" t="s">
        <v>236</v>
      </c>
    </row>
    <row r="62" spans="1:26" ht="15.75" thickBot="1">
      <c r="A62" s="3">
        <v>60</v>
      </c>
      <c r="B62" s="8" t="s">
        <v>237</v>
      </c>
      <c r="C62" s="3" t="s">
        <v>46</v>
      </c>
      <c r="D62" s="8" t="s">
        <v>238</v>
      </c>
      <c r="E62" s="8" t="s">
        <v>57</v>
      </c>
      <c r="F62" s="8" t="s">
        <v>239</v>
      </c>
      <c r="G62" s="8" t="s">
        <v>59</v>
      </c>
      <c r="H62" s="9">
        <v>0.62777174786471501</v>
      </c>
      <c r="I62" s="10">
        <v>0.95523120584571797</v>
      </c>
    </row>
    <row r="63" spans="1:26">
      <c r="A63" s="3">
        <v>61</v>
      </c>
      <c r="B63" s="4" t="s">
        <v>240</v>
      </c>
      <c r="C63" s="5" t="s">
        <v>46</v>
      </c>
      <c r="D63" s="4" t="s">
        <v>241</v>
      </c>
      <c r="E63" s="4" t="s">
        <v>57</v>
      </c>
      <c r="F63" s="4" t="s">
        <v>242</v>
      </c>
      <c r="G63" s="4" t="s">
        <v>59</v>
      </c>
      <c r="H63" s="11">
        <v>0.63381187433576902</v>
      </c>
      <c r="I63" s="7">
        <v>0.94675609731292598</v>
      </c>
      <c r="N63" s="46" t="s">
        <v>243</v>
      </c>
      <c r="O63" s="47" t="s">
        <v>244</v>
      </c>
      <c r="P63" s="48"/>
      <c r="Q63" s="47" t="s">
        <v>135</v>
      </c>
      <c r="R63" s="48"/>
      <c r="S63" s="47" t="s">
        <v>245</v>
      </c>
      <c r="T63" s="48"/>
      <c r="U63" s="49" t="s">
        <v>55</v>
      </c>
      <c r="V63" s="50"/>
    </row>
    <row r="64" spans="1:26">
      <c r="A64" s="3">
        <v>62</v>
      </c>
      <c r="B64" s="8" t="s">
        <v>246</v>
      </c>
      <c r="C64" s="3" t="s">
        <v>46</v>
      </c>
      <c r="D64" s="8" t="s">
        <v>247</v>
      </c>
      <c r="E64" s="8" t="s">
        <v>57</v>
      </c>
      <c r="F64" s="8" t="s">
        <v>248</v>
      </c>
      <c r="G64" s="8" t="s">
        <v>59</v>
      </c>
      <c r="H64" s="9">
        <v>0.47937911442637299</v>
      </c>
      <c r="I64" s="10">
        <v>0.941389229487263</v>
      </c>
      <c r="N64" s="51" t="s">
        <v>39</v>
      </c>
      <c r="O64" s="52" t="s">
        <v>249</v>
      </c>
      <c r="P64" s="53" t="s">
        <v>64</v>
      </c>
      <c r="Q64" s="52" t="s">
        <v>249</v>
      </c>
      <c r="R64" s="53" t="s">
        <v>64</v>
      </c>
      <c r="S64" s="52" t="s">
        <v>249</v>
      </c>
      <c r="T64" s="53" t="s">
        <v>64</v>
      </c>
      <c r="U64" s="52" t="s">
        <v>249</v>
      </c>
      <c r="V64" s="54" t="s">
        <v>64</v>
      </c>
    </row>
    <row r="65" spans="1:22">
      <c r="A65" s="3">
        <v>63</v>
      </c>
      <c r="B65" s="4" t="s">
        <v>250</v>
      </c>
      <c r="C65" s="5" t="s">
        <v>46</v>
      </c>
      <c r="D65" s="4" t="s">
        <v>251</v>
      </c>
      <c r="E65" s="4" t="s">
        <v>57</v>
      </c>
      <c r="F65" s="4" t="s">
        <v>252</v>
      </c>
      <c r="G65" s="4" t="s">
        <v>59</v>
      </c>
      <c r="H65" s="11">
        <v>0.51668331619142205</v>
      </c>
      <c r="I65" s="7">
        <v>0.97375719555771201</v>
      </c>
      <c r="N65" s="51">
        <v>0</v>
      </c>
      <c r="O65" s="55">
        <f>R38</f>
        <v>1.1284275200689695</v>
      </c>
      <c r="P65" s="55">
        <f>S38</f>
        <v>6.3758430816609035E-2</v>
      </c>
      <c r="Q65" s="55">
        <f>R39</f>
        <v>1.1050772440987728</v>
      </c>
      <c r="R65" s="55">
        <f>S39</f>
        <v>2.3633481744268887E-2</v>
      </c>
      <c r="S65" s="55">
        <f>R40</f>
        <v>1.1844794223889867</v>
      </c>
      <c r="T65" s="55">
        <f>S40</f>
        <v>3.3463159512413326E-2</v>
      </c>
      <c r="U65" s="55">
        <f>R41</f>
        <v>0.89955992559747944</v>
      </c>
      <c r="V65" s="71">
        <f>S41</f>
        <v>0.16980982904288755</v>
      </c>
    </row>
    <row r="66" spans="1:22">
      <c r="A66" s="3">
        <v>64</v>
      </c>
      <c r="B66" s="8" t="s">
        <v>253</v>
      </c>
      <c r="C66" s="3" t="s">
        <v>46</v>
      </c>
      <c r="D66" s="8" t="s">
        <v>254</v>
      </c>
      <c r="E66" s="8" t="s">
        <v>57</v>
      </c>
      <c r="F66" s="8" t="s">
        <v>255</v>
      </c>
      <c r="G66" s="8" t="s">
        <v>59</v>
      </c>
      <c r="H66" s="9">
        <v>0.54275652003989505</v>
      </c>
      <c r="I66" s="10">
        <v>0.94227998258686396</v>
      </c>
      <c r="N66" s="51">
        <v>3</v>
      </c>
      <c r="O66" s="55">
        <f>R44</f>
        <v>1.023621028006545</v>
      </c>
      <c r="P66" s="55">
        <f>S44</f>
        <v>4.6784589271309795E-2</v>
      </c>
      <c r="Q66" s="55">
        <f>R45</f>
        <v>1.144028384624469</v>
      </c>
      <c r="R66" s="55">
        <f>S45</f>
        <v>0.1188847472959141</v>
      </c>
      <c r="S66" s="55">
        <f>R46</f>
        <v>1.2550332923189795</v>
      </c>
      <c r="T66" s="55">
        <f>S46</f>
        <v>1.2440228906132902E-2</v>
      </c>
      <c r="U66" s="55">
        <f>R47</f>
        <v>0.89585674521123226</v>
      </c>
      <c r="V66" s="72">
        <f>S47</f>
        <v>0.16723685327376062</v>
      </c>
    </row>
    <row r="67" spans="1:22">
      <c r="A67" s="3">
        <v>65</v>
      </c>
      <c r="B67" s="4" t="s">
        <v>256</v>
      </c>
      <c r="C67" s="5" t="s">
        <v>46</v>
      </c>
      <c r="D67" s="4" t="s">
        <v>257</v>
      </c>
      <c r="E67" s="4" t="s">
        <v>57</v>
      </c>
      <c r="F67" s="4" t="s">
        <v>258</v>
      </c>
      <c r="G67" s="4" t="s">
        <v>59</v>
      </c>
      <c r="H67" s="11">
        <v>0.51636429764827096</v>
      </c>
      <c r="I67" s="7">
        <v>0.96177419921447205</v>
      </c>
      <c r="N67" s="51">
        <v>7</v>
      </c>
      <c r="O67" s="55">
        <f>R50</f>
        <v>1.1047096915785912</v>
      </c>
      <c r="P67" s="55">
        <f>S50</f>
        <v>7.0649081394266552E-2</v>
      </c>
      <c r="Q67" s="55">
        <f>R51</f>
        <v>1.159712696871299</v>
      </c>
      <c r="R67" s="55">
        <f>S51</f>
        <v>4.0252218851600879E-2</v>
      </c>
      <c r="S67" s="55">
        <f>R52</f>
        <v>1.2032592087398175</v>
      </c>
      <c r="T67" s="55">
        <f>S52</f>
        <v>5.5133817999235432E-2</v>
      </c>
      <c r="U67" s="55">
        <f>R53</f>
        <v>0.99635705398555197</v>
      </c>
      <c r="V67" s="72">
        <f>S53</f>
        <v>5.3720176990296194E-2</v>
      </c>
    </row>
    <row r="68" spans="1:22">
      <c r="A68" s="3">
        <v>66</v>
      </c>
      <c r="B68" s="8" t="s">
        <v>55</v>
      </c>
      <c r="C68" s="3" t="s">
        <v>46</v>
      </c>
      <c r="D68" s="8" t="s">
        <v>259</v>
      </c>
      <c r="E68" s="8" t="s">
        <v>57</v>
      </c>
      <c r="F68" s="8" t="s">
        <v>260</v>
      </c>
      <c r="G68" s="8" t="s">
        <v>59</v>
      </c>
      <c r="H68" s="6"/>
      <c r="I68" s="10">
        <v>1</v>
      </c>
      <c r="N68" s="51">
        <v>14</v>
      </c>
      <c r="O68" s="55">
        <f>R56</f>
        <v>1.0735041631619235</v>
      </c>
      <c r="P68" s="55">
        <f>S56</f>
        <v>9.696755838821268E-2</v>
      </c>
      <c r="Q68" s="55">
        <f>R57</f>
        <v>1.0927261096344187</v>
      </c>
      <c r="R68" s="55">
        <f>S57</f>
        <v>7.3828566065349321E-2</v>
      </c>
      <c r="S68" s="55">
        <f>R58</f>
        <v>1.282460230725633</v>
      </c>
      <c r="T68" s="55">
        <f>S58</f>
        <v>8.0339863196825234E-2</v>
      </c>
      <c r="U68" s="55">
        <f>R59</f>
        <v>0.97737114278088555</v>
      </c>
      <c r="V68" s="72">
        <f>S59</f>
        <v>9.716010955565825E-2</v>
      </c>
    </row>
    <row r="69" spans="1:22">
      <c r="A69" s="3">
        <v>67</v>
      </c>
      <c r="B69" s="4" t="s">
        <v>66</v>
      </c>
      <c r="C69" s="5" t="s">
        <v>46</v>
      </c>
      <c r="D69" s="4" t="s">
        <v>261</v>
      </c>
      <c r="E69" s="4" t="s">
        <v>57</v>
      </c>
      <c r="F69" s="4" t="s">
        <v>262</v>
      </c>
      <c r="G69" s="4" t="s">
        <v>59</v>
      </c>
      <c r="H69" s="11">
        <v>0.20100000000000001</v>
      </c>
      <c r="I69" s="7">
        <v>1.0197782970389</v>
      </c>
      <c r="N69" s="51">
        <v>21</v>
      </c>
      <c r="O69" s="55">
        <f>Y38</f>
        <v>0.89967148154162502</v>
      </c>
      <c r="P69" s="55">
        <f>Z38</f>
        <v>0.11697727431578422</v>
      </c>
      <c r="Q69" s="55">
        <f>Y39</f>
        <v>1.2676916445402469</v>
      </c>
      <c r="R69" s="55">
        <f>Z39</f>
        <v>0.1912831480399014</v>
      </c>
      <c r="S69" s="55">
        <f>Y40</f>
        <v>1.3157336821559191</v>
      </c>
      <c r="T69" s="55">
        <f>Z40</f>
        <v>4.983622606608628E-2</v>
      </c>
      <c r="U69" s="55">
        <f>Y41</f>
        <v>0.98798910594864808</v>
      </c>
      <c r="V69" s="72">
        <f>Z41</f>
        <v>4.0817212246762401E-2</v>
      </c>
    </row>
    <row r="70" spans="1:22">
      <c r="A70" s="3">
        <v>68</v>
      </c>
      <c r="B70" s="8" t="s">
        <v>70</v>
      </c>
      <c r="C70" s="3" t="s">
        <v>46</v>
      </c>
      <c r="D70" s="8" t="s">
        <v>263</v>
      </c>
      <c r="E70" s="8" t="s">
        <v>57</v>
      </c>
      <c r="F70" s="8" t="s">
        <v>264</v>
      </c>
      <c r="G70" s="8" t="s">
        <v>59</v>
      </c>
      <c r="H70" s="9">
        <v>0.50385368145346299</v>
      </c>
      <c r="I70" s="10">
        <v>1.00102919351388</v>
      </c>
      <c r="N70" s="51">
        <v>28</v>
      </c>
      <c r="O70" s="55">
        <f>Y44</f>
        <v>1.0575077746186146</v>
      </c>
      <c r="P70" s="55">
        <f>Z44</f>
        <v>7.4024735696703245E-2</v>
      </c>
      <c r="Q70" s="55">
        <f>Y45</f>
        <v>1.141484386659086</v>
      </c>
      <c r="R70" s="55">
        <f>Z45</f>
        <v>0.11103283890035984</v>
      </c>
      <c r="S70" s="55">
        <f>Y46</f>
        <v>1.3705552896377162</v>
      </c>
      <c r="T70" s="55">
        <f>Z46</f>
        <v>3.7563777803215986E-2</v>
      </c>
      <c r="U70" s="55">
        <f>Y47</f>
        <v>1.1319513492773963</v>
      </c>
      <c r="V70" s="72">
        <f>Z47</f>
        <v>0.1983057123166756</v>
      </c>
    </row>
    <row r="71" spans="1:22">
      <c r="A71" s="3">
        <v>69</v>
      </c>
      <c r="B71" s="4" t="s">
        <v>74</v>
      </c>
      <c r="C71" s="5" t="s">
        <v>46</v>
      </c>
      <c r="D71" s="4" t="s">
        <v>265</v>
      </c>
      <c r="E71" s="4" t="s">
        <v>57</v>
      </c>
      <c r="F71" s="4" t="s">
        <v>266</v>
      </c>
      <c r="G71" s="4" t="s">
        <v>59</v>
      </c>
      <c r="H71" s="11">
        <v>1.9805100789100001</v>
      </c>
      <c r="I71" s="7">
        <v>1.03698131634605</v>
      </c>
      <c r="N71" s="51">
        <v>35</v>
      </c>
      <c r="O71" s="55">
        <f>Y50</f>
        <v>1.010084512751859</v>
      </c>
      <c r="P71" s="55">
        <f>Z50</f>
        <v>7.0855379986661429E-2</v>
      </c>
      <c r="Q71" s="55">
        <f>Y51</f>
        <v>1.0396377174702194</v>
      </c>
      <c r="R71" s="55">
        <f>Z51</f>
        <v>9.6949513383017674E-2</v>
      </c>
      <c r="S71" s="55">
        <f>Y52</f>
        <v>1.1260316580830645</v>
      </c>
      <c r="T71" s="55">
        <f>Z52</f>
        <v>0.21346511658346506</v>
      </c>
      <c r="U71" s="55">
        <f>Y53</f>
        <v>0.97559849991046255</v>
      </c>
      <c r="V71" s="73">
        <f>Z53</f>
        <v>5.9540172756420984E-2</v>
      </c>
    </row>
    <row r="72" spans="1:22">
      <c r="A72" s="3">
        <v>70</v>
      </c>
      <c r="B72" s="8" t="s">
        <v>78</v>
      </c>
      <c r="C72" s="3" t="s">
        <v>46</v>
      </c>
      <c r="D72" s="8" t="s">
        <v>267</v>
      </c>
      <c r="E72" s="8" t="s">
        <v>57</v>
      </c>
      <c r="F72" s="8" t="s">
        <v>268</v>
      </c>
      <c r="G72" s="8" t="s">
        <v>59</v>
      </c>
      <c r="H72" s="9">
        <v>9.9973304091625206</v>
      </c>
      <c r="I72" s="10">
        <v>1.0241342544521901</v>
      </c>
      <c r="N72" s="51"/>
      <c r="O72" s="55"/>
      <c r="P72" s="56"/>
      <c r="Q72" s="55"/>
      <c r="R72" s="56"/>
      <c r="S72" s="55"/>
      <c r="T72" s="56"/>
      <c r="U72" s="55"/>
      <c r="V72" s="57"/>
    </row>
    <row r="73" spans="1:22">
      <c r="A73" s="3">
        <v>71</v>
      </c>
      <c r="B73" s="4" t="s">
        <v>82</v>
      </c>
      <c r="C73" s="5" t="s">
        <v>46</v>
      </c>
      <c r="D73" s="4" t="s">
        <v>269</v>
      </c>
      <c r="E73" s="4" t="s">
        <v>57</v>
      </c>
      <c r="F73" s="4" t="s">
        <v>270</v>
      </c>
      <c r="G73" s="4" t="s">
        <v>59</v>
      </c>
      <c r="H73" s="11">
        <v>19.6466660200951</v>
      </c>
      <c r="I73" s="7">
        <v>1.0351515983142401</v>
      </c>
      <c r="N73" s="51"/>
      <c r="O73" s="58"/>
      <c r="P73" s="59"/>
      <c r="Q73" s="58"/>
      <c r="R73" s="59"/>
      <c r="S73" s="58"/>
      <c r="T73" s="59"/>
      <c r="U73" s="58"/>
      <c r="V73" s="60"/>
    </row>
    <row r="74" spans="1:22">
      <c r="A74" s="3">
        <v>72</v>
      </c>
      <c r="B74" s="8" t="s">
        <v>85</v>
      </c>
      <c r="C74" s="3" t="s">
        <v>46</v>
      </c>
      <c r="D74" s="8" t="s">
        <v>271</v>
      </c>
      <c r="E74" s="8" t="s">
        <v>57</v>
      </c>
      <c r="F74" s="8" t="s">
        <v>272</v>
      </c>
      <c r="G74" s="8" t="s">
        <v>59</v>
      </c>
      <c r="H74" s="9">
        <v>38.248913229223199</v>
      </c>
      <c r="I74" s="10">
        <v>1.1637634087947899</v>
      </c>
      <c r="N74" s="51"/>
      <c r="O74" s="61"/>
      <c r="Q74" s="61"/>
      <c r="S74" s="61"/>
      <c r="U74" s="61"/>
      <c r="V74" s="57"/>
    </row>
    <row r="75" spans="1:22" ht="30">
      <c r="A75" s="3">
        <v>73</v>
      </c>
      <c r="B75" s="12" t="str">
        <f>HYPERLINK("#'Calibration Curves 73'!A1", "Calibration Curves")</f>
        <v>Calibration Curves</v>
      </c>
      <c r="C75" s="3" t="s">
        <v>46</v>
      </c>
      <c r="D75" s="8" t="s">
        <v>271</v>
      </c>
      <c r="E75" s="8" t="s">
        <v>57</v>
      </c>
      <c r="F75" s="8" t="s">
        <v>57</v>
      </c>
      <c r="G75" s="8" t="s">
        <v>57</v>
      </c>
      <c r="H75" s="6"/>
      <c r="I75" s="13"/>
      <c r="N75" s="51"/>
      <c r="T75" s="62" t="s">
        <v>273</v>
      </c>
      <c r="U75" s="63">
        <f>AVERAGE(U65:U71)</f>
        <v>0.98066911753023667</v>
      </c>
      <c r="V75" s="64">
        <f>STDEV(U65:U71)</f>
        <v>7.8522220356118083E-2</v>
      </c>
    </row>
    <row r="76" spans="1:22">
      <c r="A76" s="3">
        <v>74</v>
      </c>
      <c r="B76" s="8" t="s">
        <v>88</v>
      </c>
      <c r="C76" s="3" t="s">
        <v>46</v>
      </c>
      <c r="D76" s="8" t="s">
        <v>274</v>
      </c>
      <c r="E76" s="8" t="s">
        <v>57</v>
      </c>
      <c r="F76" s="8" t="s">
        <v>275</v>
      </c>
      <c r="G76" s="8" t="s">
        <v>59</v>
      </c>
      <c r="H76" s="9">
        <v>1.4412546242552801E-2</v>
      </c>
      <c r="I76" s="10">
        <v>1.0038461571980499</v>
      </c>
      <c r="N76" s="65" t="s">
        <v>276</v>
      </c>
      <c r="O76" s="52" t="s">
        <v>277</v>
      </c>
      <c r="P76" s="53" t="s">
        <v>64</v>
      </c>
      <c r="Q76" s="52" t="s">
        <v>277</v>
      </c>
      <c r="R76" s="53" t="s">
        <v>64</v>
      </c>
      <c r="S76" s="52" t="s">
        <v>277</v>
      </c>
      <c r="T76" s="53" t="s">
        <v>64</v>
      </c>
      <c r="U76" s="52" t="s">
        <v>249</v>
      </c>
      <c r="V76" s="54" t="s">
        <v>64</v>
      </c>
    </row>
    <row r="77" spans="1:22">
      <c r="A77" s="3">
        <v>75</v>
      </c>
      <c r="B77" s="4" t="s">
        <v>91</v>
      </c>
      <c r="C77" s="5" t="s">
        <v>46</v>
      </c>
      <c r="D77" s="4" t="s">
        <v>278</v>
      </c>
      <c r="E77" s="4" t="s">
        <v>93</v>
      </c>
      <c r="F77" s="4" t="s">
        <v>279</v>
      </c>
      <c r="G77" s="4" t="s">
        <v>59</v>
      </c>
      <c r="H77" s="11">
        <v>10.1763258651815</v>
      </c>
      <c r="I77" s="7">
        <v>1.04785802738721</v>
      </c>
      <c r="N77" s="51">
        <v>0</v>
      </c>
      <c r="O77" s="61">
        <f>O65-$U$75</f>
        <v>0.14775840253873285</v>
      </c>
      <c r="P77" s="61">
        <f>P65</f>
        <v>6.3758430816609035E-2</v>
      </c>
      <c r="Q77" s="61">
        <f>Q65-$U$75</f>
        <v>0.12440812656853617</v>
      </c>
      <c r="R77" s="61">
        <f>R65</f>
        <v>2.3633481744268887E-2</v>
      </c>
      <c r="S77" s="61">
        <f>S65-$U$75</f>
        <v>0.20381030485875007</v>
      </c>
      <c r="T77" s="61">
        <f>T65</f>
        <v>3.3463159512413326E-2</v>
      </c>
      <c r="U77" s="61">
        <f>U65-$U$75</f>
        <v>-8.110919193275723E-2</v>
      </c>
      <c r="V77" s="66">
        <f>V65</f>
        <v>0.16980982904288755</v>
      </c>
    </row>
    <row r="78" spans="1:22">
      <c r="A78" s="3">
        <v>76</v>
      </c>
      <c r="B78" s="8" t="s">
        <v>88</v>
      </c>
      <c r="C78" s="3" t="s">
        <v>46</v>
      </c>
      <c r="D78" s="8" t="s">
        <v>280</v>
      </c>
      <c r="E78" s="8" t="s">
        <v>57</v>
      </c>
      <c r="F78" s="8" t="s">
        <v>281</v>
      </c>
      <c r="G78" s="8" t="s">
        <v>59</v>
      </c>
      <c r="H78" s="9">
        <v>-2.8600013773048698E-2</v>
      </c>
      <c r="I78" s="10">
        <v>1.02518793411755</v>
      </c>
      <c r="N78" s="51">
        <v>3</v>
      </c>
      <c r="O78" s="61">
        <f t="shared" ref="O78:O83" si="0">O66-$U$75</f>
        <v>4.2951910476308308E-2</v>
      </c>
      <c r="P78" s="61">
        <f t="shared" ref="P78:P83" si="1">P66</f>
        <v>4.6784589271309795E-2</v>
      </c>
      <c r="Q78" s="61">
        <f t="shared" ref="Q78:Q83" si="2">Q66-$U$75</f>
        <v>0.16335926709423232</v>
      </c>
      <c r="R78" s="61">
        <f t="shared" ref="R78:R83" si="3">R66</f>
        <v>0.1188847472959141</v>
      </c>
      <c r="S78" s="61">
        <f t="shared" ref="S78:S82" si="4">S66-$U$75</f>
        <v>0.27436417478874287</v>
      </c>
      <c r="T78" s="61">
        <f t="shared" ref="T78:T83" si="5">T66</f>
        <v>1.2440228906132902E-2</v>
      </c>
      <c r="U78" s="61">
        <f t="shared" ref="U78:U83" si="6">U66-$U$75</f>
        <v>-8.4812372319004403E-2</v>
      </c>
      <c r="V78" s="66">
        <f t="shared" ref="V78:V83" si="7">V66</f>
        <v>0.16723685327376062</v>
      </c>
    </row>
    <row r="79" spans="1:22">
      <c r="A79" s="3">
        <v>77</v>
      </c>
      <c r="B79" s="4" t="s">
        <v>282</v>
      </c>
      <c r="C79" s="5" t="s">
        <v>46</v>
      </c>
      <c r="D79" s="4" t="s">
        <v>283</v>
      </c>
      <c r="E79" s="4" t="s">
        <v>57</v>
      </c>
      <c r="F79" s="4" t="s">
        <v>284</v>
      </c>
      <c r="G79" s="4" t="s">
        <v>59</v>
      </c>
      <c r="H79" s="11">
        <v>0.59102417493536497</v>
      </c>
      <c r="I79" s="7">
        <v>0.961851538923025</v>
      </c>
      <c r="N79" s="51">
        <v>7</v>
      </c>
      <c r="O79" s="61">
        <f t="shared" si="0"/>
        <v>0.12404057404835456</v>
      </c>
      <c r="P79" s="61">
        <f t="shared" si="1"/>
        <v>7.0649081394266552E-2</v>
      </c>
      <c r="Q79" s="61">
        <f t="shared" si="2"/>
        <v>0.1790435793410623</v>
      </c>
      <c r="R79" s="61">
        <f t="shared" si="3"/>
        <v>4.0252218851600879E-2</v>
      </c>
      <c r="S79" s="61">
        <f t="shared" si="4"/>
        <v>0.22259009120958084</v>
      </c>
      <c r="T79" s="61">
        <f t="shared" si="5"/>
        <v>5.5133817999235432E-2</v>
      </c>
      <c r="U79" s="61">
        <f t="shared" si="6"/>
        <v>1.5687936455315299E-2</v>
      </c>
      <c r="V79" s="66">
        <f t="shared" si="7"/>
        <v>5.3720176990296194E-2</v>
      </c>
    </row>
    <row r="80" spans="1:22">
      <c r="A80" s="3">
        <v>78</v>
      </c>
      <c r="B80" s="8" t="s">
        <v>285</v>
      </c>
      <c r="C80" s="3" t="s">
        <v>46</v>
      </c>
      <c r="D80" s="8" t="s">
        <v>286</v>
      </c>
      <c r="E80" s="8" t="s">
        <v>57</v>
      </c>
      <c r="F80" s="8" t="s">
        <v>287</v>
      </c>
      <c r="G80" s="8" t="s">
        <v>59</v>
      </c>
      <c r="H80" s="9">
        <v>0.59706790527768605</v>
      </c>
      <c r="I80" s="10">
        <v>0.95848291369835303</v>
      </c>
      <c r="N80" s="51">
        <v>14</v>
      </c>
      <c r="O80" s="61">
        <f t="shared" si="0"/>
        <v>9.2835045631686874E-2</v>
      </c>
      <c r="P80" s="61">
        <f t="shared" si="1"/>
        <v>9.696755838821268E-2</v>
      </c>
      <c r="Q80" s="61">
        <f t="shared" si="2"/>
        <v>0.11205699210418207</v>
      </c>
      <c r="R80" s="61">
        <f t="shared" si="3"/>
        <v>7.3828566065349321E-2</v>
      </c>
      <c r="S80" s="61">
        <f t="shared" si="4"/>
        <v>0.30179111319539631</v>
      </c>
      <c r="T80" s="61">
        <f t="shared" si="5"/>
        <v>8.0339863196825234E-2</v>
      </c>
      <c r="U80" s="61">
        <f t="shared" si="6"/>
        <v>-3.297974749351118E-3</v>
      </c>
      <c r="V80" s="66">
        <f t="shared" si="7"/>
        <v>9.716010955565825E-2</v>
      </c>
    </row>
    <row r="81" spans="1:22">
      <c r="A81" s="3">
        <v>79</v>
      </c>
      <c r="B81" s="4" t="s">
        <v>288</v>
      </c>
      <c r="C81" s="5" t="s">
        <v>46</v>
      </c>
      <c r="D81" s="4" t="s">
        <v>289</v>
      </c>
      <c r="E81" s="4" t="s">
        <v>57</v>
      </c>
      <c r="F81" s="4" t="s">
        <v>290</v>
      </c>
      <c r="G81" s="4" t="s">
        <v>59</v>
      </c>
      <c r="H81" s="11">
        <v>0.58422824614095503</v>
      </c>
      <c r="I81" s="7">
        <v>0.95553807969868798</v>
      </c>
      <c r="N81" s="51">
        <v>21</v>
      </c>
      <c r="O81" s="61">
        <f t="shared" si="0"/>
        <v>-8.0997635988611649E-2</v>
      </c>
      <c r="P81" s="61">
        <f t="shared" si="1"/>
        <v>0.11697727431578422</v>
      </c>
      <c r="Q81" s="61">
        <f t="shared" si="2"/>
        <v>0.28702252701001019</v>
      </c>
      <c r="R81" s="61">
        <f t="shared" si="3"/>
        <v>0.1912831480399014</v>
      </c>
      <c r="S81" s="61">
        <f t="shared" si="4"/>
        <v>0.33506456462568246</v>
      </c>
      <c r="T81" s="61">
        <f t="shared" si="5"/>
        <v>4.983622606608628E-2</v>
      </c>
      <c r="U81" s="61">
        <f t="shared" si="6"/>
        <v>7.3199884184114161E-3</v>
      </c>
      <c r="V81" s="66">
        <f t="shared" si="7"/>
        <v>4.0817212246762401E-2</v>
      </c>
    </row>
    <row r="82" spans="1:22">
      <c r="A82" s="3">
        <v>80</v>
      </c>
      <c r="B82" s="8" t="s">
        <v>291</v>
      </c>
      <c r="C82" s="3" t="s">
        <v>46</v>
      </c>
      <c r="D82" s="8" t="s">
        <v>292</v>
      </c>
      <c r="E82" s="8" t="s">
        <v>57</v>
      </c>
      <c r="F82" s="8" t="s">
        <v>293</v>
      </c>
      <c r="G82" s="8" t="s">
        <v>59</v>
      </c>
      <c r="H82" s="9">
        <v>0.55806922704650896</v>
      </c>
      <c r="I82" s="10">
        <v>0.95385320906006799</v>
      </c>
      <c r="N82" s="51">
        <v>28</v>
      </c>
      <c r="O82" s="61">
        <f t="shared" si="0"/>
        <v>7.6838657088377893E-2</v>
      </c>
      <c r="P82" s="61">
        <f t="shared" si="1"/>
        <v>7.4024735696703245E-2</v>
      </c>
      <c r="Q82" s="61">
        <f t="shared" si="2"/>
        <v>0.16081526912884936</v>
      </c>
      <c r="R82" s="61">
        <f t="shared" si="3"/>
        <v>0.11103283890035984</v>
      </c>
      <c r="S82" s="61">
        <f t="shared" si="4"/>
        <v>0.38988617210747956</v>
      </c>
      <c r="T82" s="61">
        <f t="shared" si="5"/>
        <v>3.7563777803215986E-2</v>
      </c>
      <c r="U82" s="61">
        <f t="shared" si="6"/>
        <v>0.1512822317471596</v>
      </c>
      <c r="V82" s="66">
        <f t="shared" si="7"/>
        <v>0.1983057123166756</v>
      </c>
    </row>
    <row r="83" spans="1:22">
      <c r="A83" s="3">
        <v>81</v>
      </c>
      <c r="B83" s="4" t="s">
        <v>294</v>
      </c>
      <c r="C83" s="5" t="s">
        <v>46</v>
      </c>
      <c r="D83" s="4" t="s">
        <v>295</v>
      </c>
      <c r="E83" s="4" t="s">
        <v>57</v>
      </c>
      <c r="F83" s="4" t="s">
        <v>296</v>
      </c>
      <c r="G83" s="4" t="s">
        <v>59</v>
      </c>
      <c r="H83" s="11">
        <v>-3.5638973175145097E-2</v>
      </c>
      <c r="I83" s="7">
        <v>2.5003191315490398</v>
      </c>
      <c r="N83" s="51">
        <v>35</v>
      </c>
      <c r="O83" s="61">
        <f t="shared" si="0"/>
        <v>2.9415395221622287E-2</v>
      </c>
      <c r="P83" s="61">
        <f t="shared" si="1"/>
        <v>7.0855379986661429E-2</v>
      </c>
      <c r="Q83" s="61">
        <f t="shared" si="2"/>
        <v>5.8968599939982713E-2</v>
      </c>
      <c r="R83" s="61">
        <f t="shared" si="3"/>
        <v>9.6949513383017674E-2</v>
      </c>
      <c r="S83" s="61">
        <f>S71-$U$75</f>
        <v>0.14536254055282782</v>
      </c>
      <c r="T83" s="61">
        <f t="shared" si="5"/>
        <v>0.21346511658346506</v>
      </c>
      <c r="U83" s="61">
        <f t="shared" si="6"/>
        <v>-5.0706176197741204E-3</v>
      </c>
      <c r="V83" s="66">
        <f t="shared" si="7"/>
        <v>5.9540172756420984E-2</v>
      </c>
    </row>
    <row r="84" spans="1:22">
      <c r="A84" s="3">
        <v>82</v>
      </c>
      <c r="B84" s="8" t="s">
        <v>297</v>
      </c>
      <c r="C84" s="3" t="s">
        <v>46</v>
      </c>
      <c r="D84" s="8" t="s">
        <v>298</v>
      </c>
      <c r="E84" s="8" t="s">
        <v>57</v>
      </c>
      <c r="F84" s="8" t="s">
        <v>299</v>
      </c>
      <c r="G84" s="8" t="s">
        <v>59</v>
      </c>
      <c r="H84" s="9">
        <v>0.59020020097148695</v>
      </c>
      <c r="I84" s="10">
        <v>0.99446694392742596</v>
      </c>
      <c r="N84" s="51"/>
      <c r="O84" s="61"/>
      <c r="P84" s="61"/>
      <c r="Q84" s="61"/>
      <c r="R84" s="61"/>
      <c r="S84" s="61"/>
      <c r="T84" s="61"/>
      <c r="U84" s="61"/>
      <c r="V84" s="66"/>
    </row>
    <row r="85" spans="1:22">
      <c r="A85" s="3">
        <v>83</v>
      </c>
      <c r="B85" s="4" t="s">
        <v>300</v>
      </c>
      <c r="C85" s="5" t="s">
        <v>46</v>
      </c>
      <c r="D85" s="4" t="s">
        <v>301</v>
      </c>
      <c r="E85" s="4" t="s">
        <v>57</v>
      </c>
      <c r="F85" s="4" t="s">
        <v>302</v>
      </c>
      <c r="G85" s="4" t="s">
        <v>59</v>
      </c>
      <c r="H85" s="11">
        <v>0.58157033177600204</v>
      </c>
      <c r="I85" s="7">
        <v>0.99355098359010097</v>
      </c>
      <c r="N85" s="51"/>
      <c r="O85" s="61"/>
      <c r="P85" s="61"/>
      <c r="Q85" s="61"/>
      <c r="R85" s="61"/>
      <c r="S85" s="61"/>
      <c r="T85" s="61"/>
      <c r="U85" s="61"/>
      <c r="V85" s="66"/>
    </row>
    <row r="86" spans="1:22">
      <c r="A86" s="3">
        <v>84</v>
      </c>
      <c r="B86" s="8" t="s">
        <v>303</v>
      </c>
      <c r="C86" s="3" t="s">
        <v>46</v>
      </c>
      <c r="D86" s="8" t="s">
        <v>304</v>
      </c>
      <c r="E86" s="8" t="s">
        <v>57</v>
      </c>
      <c r="F86" s="8" t="s">
        <v>305</v>
      </c>
      <c r="G86" s="8" t="s">
        <v>59</v>
      </c>
      <c r="H86" s="9">
        <v>0.441855460780399</v>
      </c>
      <c r="I86" s="10">
        <v>0.96406802568637395</v>
      </c>
      <c r="N86" s="51"/>
      <c r="O86" s="61"/>
      <c r="P86" s="61"/>
      <c r="Q86" s="61"/>
      <c r="R86" s="61"/>
      <c r="S86" s="61"/>
      <c r="T86" s="61"/>
      <c r="U86" s="61"/>
      <c r="V86" s="66"/>
    </row>
    <row r="87" spans="1:22">
      <c r="A87" s="3">
        <v>85</v>
      </c>
      <c r="B87" s="4" t="s">
        <v>306</v>
      </c>
      <c r="C87" s="5" t="s">
        <v>46</v>
      </c>
      <c r="D87" s="4" t="s">
        <v>307</v>
      </c>
      <c r="E87" s="4" t="s">
        <v>57</v>
      </c>
      <c r="F87" s="4" t="s">
        <v>308</v>
      </c>
      <c r="G87" s="4" t="s">
        <v>59</v>
      </c>
      <c r="H87" s="11">
        <v>0.52306907946880599</v>
      </c>
      <c r="I87" s="7">
        <v>0.96280819486887004</v>
      </c>
      <c r="N87" s="51" t="s">
        <v>309</v>
      </c>
      <c r="O87" s="67" t="s">
        <v>310</v>
      </c>
      <c r="P87" s="67"/>
      <c r="Q87" s="67" t="s">
        <v>311</v>
      </c>
      <c r="R87" s="67"/>
      <c r="S87" s="67" t="s">
        <v>312</v>
      </c>
      <c r="T87" s="67"/>
      <c r="U87" s="67"/>
      <c r="V87" s="67"/>
    </row>
    <row r="88" spans="1:22">
      <c r="A88" s="3">
        <v>86</v>
      </c>
      <c r="B88" s="8" t="s">
        <v>313</v>
      </c>
      <c r="C88" s="3" t="s">
        <v>46</v>
      </c>
      <c r="D88" s="8" t="s">
        <v>314</v>
      </c>
      <c r="E88" s="8" t="s">
        <v>57</v>
      </c>
      <c r="F88" s="8" t="s">
        <v>315</v>
      </c>
      <c r="G88" s="8" t="s">
        <v>59</v>
      </c>
      <c r="H88" s="9">
        <v>0.58378214607015899</v>
      </c>
      <c r="I88" s="10">
        <v>0.94096915371738599</v>
      </c>
      <c r="N88" s="51">
        <v>0</v>
      </c>
      <c r="O88" s="61">
        <f>O77/$O$32*100</f>
        <v>0.59103361015493139</v>
      </c>
      <c r="P88" s="61">
        <f>P77/$O$32*100</f>
        <v>0.25503372326643614</v>
      </c>
      <c r="Q88" s="61">
        <f>Q77/$P$32*100</f>
        <v>0.17278906467852245</v>
      </c>
      <c r="R88" s="61">
        <f>R77/$P$32*100</f>
        <v>3.2824280200373451E-2</v>
      </c>
      <c r="S88" s="61">
        <f>S77/$Q$32*100</f>
        <v>7.438332294114966E-2</v>
      </c>
      <c r="T88" s="61">
        <f>T77/$Q$32*100</f>
        <v>1.2212831938836981E-2</v>
      </c>
      <c r="U88" s="61"/>
      <c r="V88" s="66"/>
    </row>
    <row r="89" spans="1:22">
      <c r="A89" s="3">
        <v>87</v>
      </c>
      <c r="B89" s="4" t="s">
        <v>316</v>
      </c>
      <c r="C89" s="5" t="s">
        <v>46</v>
      </c>
      <c r="D89" s="4" t="s">
        <v>317</v>
      </c>
      <c r="E89" s="4" t="s">
        <v>57</v>
      </c>
      <c r="F89" s="4" t="s">
        <v>318</v>
      </c>
      <c r="G89" s="4" t="s">
        <v>59</v>
      </c>
      <c r="H89" s="11">
        <v>0.51331492414189395</v>
      </c>
      <c r="I89" s="7">
        <v>0.978703224476003</v>
      </c>
      <c r="N89" s="51">
        <v>3</v>
      </c>
      <c r="O89" s="61">
        <f t="shared" ref="O89:P94" si="8">O78/$O$32*100</f>
        <v>0.17180764190523323</v>
      </c>
      <c r="P89" s="61">
        <f t="shared" si="8"/>
        <v>0.18713835708523918</v>
      </c>
      <c r="Q89" s="61">
        <f t="shared" ref="Q89:R94" si="9">Q78/$P$32*100</f>
        <v>0.22688787096421156</v>
      </c>
      <c r="R89" s="61">
        <f t="shared" si="9"/>
        <v>0.16511770457765848</v>
      </c>
      <c r="S89" s="61">
        <f t="shared" ref="S89:T89" si="10">S78/$Q$32*100</f>
        <v>0.10013291050684045</v>
      </c>
      <c r="T89" s="61">
        <f t="shared" si="10"/>
        <v>4.5402295277857307E-3</v>
      </c>
      <c r="U89" s="61"/>
      <c r="V89" s="66"/>
    </row>
    <row r="90" spans="1:22">
      <c r="A90" s="3">
        <v>88</v>
      </c>
      <c r="B90" s="8" t="s">
        <v>319</v>
      </c>
      <c r="C90" s="3" t="s">
        <v>46</v>
      </c>
      <c r="D90" s="8" t="s">
        <v>320</v>
      </c>
      <c r="E90" s="8" t="s">
        <v>57</v>
      </c>
      <c r="F90" s="8" t="s">
        <v>321</v>
      </c>
      <c r="G90" s="8" t="s">
        <v>59</v>
      </c>
      <c r="H90" s="9">
        <v>0.503766941590996</v>
      </c>
      <c r="I90" s="10">
        <v>0.99046698502013297</v>
      </c>
      <c r="N90" s="51">
        <v>7</v>
      </c>
      <c r="O90" s="61">
        <f t="shared" si="8"/>
        <v>0.49616229619341823</v>
      </c>
      <c r="P90" s="61">
        <f t="shared" si="8"/>
        <v>0.28259632557706621</v>
      </c>
      <c r="Q90" s="61">
        <f t="shared" si="9"/>
        <v>0.24867163797369762</v>
      </c>
      <c r="R90" s="61">
        <f t="shared" si="9"/>
        <v>5.5905859516112336E-2</v>
      </c>
      <c r="S90" s="61">
        <f t="shared" ref="S90:T90" si="11">S79/$Q$32*100</f>
        <v>8.1237259565540454E-2</v>
      </c>
      <c r="T90" s="61">
        <f t="shared" si="11"/>
        <v>2.0121831386582273E-2</v>
      </c>
      <c r="U90" s="61"/>
      <c r="V90" s="66"/>
    </row>
    <row r="91" spans="1:22">
      <c r="A91" s="3">
        <v>89</v>
      </c>
      <c r="B91" s="4" t="s">
        <v>322</v>
      </c>
      <c r="C91" s="5" t="s">
        <v>46</v>
      </c>
      <c r="D91" s="4" t="s">
        <v>323</v>
      </c>
      <c r="E91" s="4" t="s">
        <v>57</v>
      </c>
      <c r="F91" s="4" t="s">
        <v>324</v>
      </c>
      <c r="G91" s="4" t="s">
        <v>59</v>
      </c>
      <c r="H91" s="11">
        <v>0.51588777323731105</v>
      </c>
      <c r="I91" s="7">
        <v>1.0286115285320601</v>
      </c>
      <c r="N91" s="51">
        <v>14</v>
      </c>
      <c r="O91" s="61">
        <f t="shared" si="8"/>
        <v>0.3713401825267475</v>
      </c>
      <c r="P91" s="61">
        <f t="shared" si="8"/>
        <v>0.38787023355285072</v>
      </c>
      <c r="Q91" s="61">
        <f t="shared" si="9"/>
        <v>0.15563471125580844</v>
      </c>
      <c r="R91" s="61">
        <f t="shared" si="9"/>
        <v>0.10253967509076295</v>
      </c>
      <c r="S91" s="61">
        <f t="shared" ref="S91:T91" si="12">S80/$Q$32*100</f>
        <v>0.11014274204211544</v>
      </c>
      <c r="T91" s="61">
        <f t="shared" si="12"/>
        <v>2.9321117955045706E-2</v>
      </c>
      <c r="U91" s="61"/>
      <c r="V91" s="66"/>
    </row>
    <row r="92" spans="1:22">
      <c r="A92" s="3">
        <v>90</v>
      </c>
      <c r="B92" s="8" t="s">
        <v>325</v>
      </c>
      <c r="C92" s="3" t="s">
        <v>46</v>
      </c>
      <c r="D92" s="8" t="s">
        <v>326</v>
      </c>
      <c r="E92" s="8" t="s">
        <v>57</v>
      </c>
      <c r="F92" s="8" t="s">
        <v>327</v>
      </c>
      <c r="G92" s="8" t="s">
        <v>59</v>
      </c>
      <c r="H92" s="9">
        <v>0.58774995749746795</v>
      </c>
      <c r="I92" s="10">
        <v>0.97310289701983799</v>
      </c>
      <c r="N92" s="51">
        <v>21</v>
      </c>
      <c r="O92" s="61">
        <f t="shared" si="8"/>
        <v>-0.3239905439544466</v>
      </c>
      <c r="P92" s="61">
        <f>P81/$O$32*100</f>
        <v>0.4679090972631369</v>
      </c>
      <c r="Q92" s="61">
        <f t="shared" si="9"/>
        <v>0.39864239862501416</v>
      </c>
      <c r="R92" s="61">
        <f t="shared" si="9"/>
        <v>0.26567103894430749</v>
      </c>
      <c r="S92" s="61">
        <f t="shared" ref="S92:T92" si="13">S81/$Q$32*100</f>
        <v>0.12228633745462864</v>
      </c>
      <c r="T92" s="61">
        <f t="shared" si="13"/>
        <v>1.8188403673754117E-2</v>
      </c>
      <c r="U92" s="61"/>
      <c r="V92" s="66"/>
    </row>
    <row r="93" spans="1:22">
      <c r="A93" s="3">
        <v>91</v>
      </c>
      <c r="B93" s="4" t="s">
        <v>328</v>
      </c>
      <c r="C93" s="5" t="s">
        <v>46</v>
      </c>
      <c r="D93" s="4" t="s">
        <v>329</v>
      </c>
      <c r="E93" s="4" t="s">
        <v>57</v>
      </c>
      <c r="F93" s="4" t="s">
        <v>330</v>
      </c>
      <c r="G93" s="4" t="s">
        <v>59</v>
      </c>
      <c r="H93" s="11">
        <v>0.53595822361621304</v>
      </c>
      <c r="I93" s="7">
        <v>0.97031115971462401</v>
      </c>
      <c r="N93" s="51">
        <v>28</v>
      </c>
      <c r="O93" s="61">
        <f t="shared" si="8"/>
        <v>0.30735462835351157</v>
      </c>
      <c r="P93" s="61">
        <f t="shared" si="8"/>
        <v>0.29609894278681298</v>
      </c>
      <c r="Q93" s="61">
        <f t="shared" si="9"/>
        <v>0.22335454045673522</v>
      </c>
      <c r="R93" s="61">
        <f t="shared" si="9"/>
        <v>0.15421227625049977</v>
      </c>
      <c r="S93" s="61">
        <f t="shared" ref="S93:T93" si="14">S82/$Q$32*100</f>
        <v>0.14229422339689035</v>
      </c>
      <c r="T93" s="61">
        <f t="shared" si="14"/>
        <v>1.3709407957378099E-2</v>
      </c>
      <c r="U93" s="61"/>
      <c r="V93" s="66"/>
    </row>
    <row r="94" spans="1:22">
      <c r="A94" s="3">
        <v>92</v>
      </c>
      <c r="B94" s="8" t="s">
        <v>331</v>
      </c>
      <c r="C94" s="3" t="s">
        <v>46</v>
      </c>
      <c r="D94" s="8" t="s">
        <v>332</v>
      </c>
      <c r="E94" s="8" t="s">
        <v>57</v>
      </c>
      <c r="F94" s="8" t="s">
        <v>333</v>
      </c>
      <c r="G94" s="8" t="s">
        <v>59</v>
      </c>
      <c r="H94" s="9">
        <v>0.65173680446853499</v>
      </c>
      <c r="I94" s="10">
        <v>0.97503922889038597</v>
      </c>
      <c r="N94" s="51">
        <v>35</v>
      </c>
      <c r="O94" s="61">
        <f t="shared" si="8"/>
        <v>0.11766158088648915</v>
      </c>
      <c r="P94" s="61">
        <f t="shared" si="8"/>
        <v>0.28342151994664572</v>
      </c>
      <c r="Q94" s="61">
        <f t="shared" si="9"/>
        <v>8.1900833249975991E-2</v>
      </c>
      <c r="R94" s="61">
        <f t="shared" si="9"/>
        <v>0.13465210192085789</v>
      </c>
      <c r="S94" s="61">
        <f t="shared" ref="S94:T94" si="15">S83/$Q$32*100</f>
        <v>5.3052022099572195E-2</v>
      </c>
      <c r="T94" s="61">
        <f t="shared" si="15"/>
        <v>7.7906976855279225E-2</v>
      </c>
      <c r="U94" s="61"/>
      <c r="V94" s="66"/>
    </row>
    <row r="95" spans="1:22">
      <c r="A95" s="3">
        <v>93</v>
      </c>
      <c r="B95" s="4" t="s">
        <v>334</v>
      </c>
      <c r="C95" s="5" t="s">
        <v>46</v>
      </c>
      <c r="D95" s="4" t="s">
        <v>335</v>
      </c>
      <c r="E95" s="4" t="s">
        <v>57</v>
      </c>
      <c r="F95" s="4" t="s">
        <v>336</v>
      </c>
      <c r="G95" s="4" t="s">
        <v>59</v>
      </c>
      <c r="H95" s="11">
        <v>0.59431497626914098</v>
      </c>
      <c r="I95" s="7">
        <v>0.97484086443250095</v>
      </c>
      <c r="N95" s="51"/>
      <c r="O95" s="61"/>
      <c r="P95" s="61"/>
      <c r="Q95" s="61"/>
      <c r="R95" s="61"/>
      <c r="S95" s="61"/>
      <c r="T95" s="61"/>
      <c r="U95" s="61"/>
      <c r="V95" s="66"/>
    </row>
    <row r="96" spans="1:22">
      <c r="A96" s="3">
        <v>94</v>
      </c>
      <c r="B96" s="8" t="s">
        <v>337</v>
      </c>
      <c r="C96" s="3" t="s">
        <v>46</v>
      </c>
      <c r="D96" s="8" t="s">
        <v>338</v>
      </c>
      <c r="E96" s="8" t="s">
        <v>57</v>
      </c>
      <c r="F96" s="8" t="s">
        <v>339</v>
      </c>
      <c r="G96" s="8" t="s">
        <v>59</v>
      </c>
      <c r="H96" s="9">
        <v>0.63644953865679299</v>
      </c>
      <c r="I96" s="10">
        <v>0.96839592942709696</v>
      </c>
      <c r="N96" s="51"/>
      <c r="O96" s="61"/>
      <c r="P96" s="61"/>
      <c r="Q96" s="61"/>
      <c r="R96" s="61"/>
      <c r="S96" s="61"/>
      <c r="T96" s="61"/>
      <c r="U96" s="61"/>
      <c r="V96" s="66"/>
    </row>
    <row r="97" spans="1:22" ht="15.75" thickBot="1">
      <c r="A97" s="3">
        <v>95</v>
      </c>
      <c r="B97" s="4" t="s">
        <v>340</v>
      </c>
      <c r="C97" s="5" t="s">
        <v>46</v>
      </c>
      <c r="D97" s="4" t="s">
        <v>341</v>
      </c>
      <c r="E97" s="4" t="s">
        <v>57</v>
      </c>
      <c r="F97" s="4" t="s">
        <v>342</v>
      </c>
      <c r="G97" s="4" t="s">
        <v>59</v>
      </c>
      <c r="H97" s="11">
        <v>0.49592437358265901</v>
      </c>
      <c r="I97" s="7">
        <v>0.96392078646318102</v>
      </c>
      <c r="N97" s="68"/>
      <c r="O97" s="69"/>
      <c r="P97" s="69"/>
      <c r="Q97" s="69"/>
      <c r="R97" s="69"/>
      <c r="S97" s="69"/>
      <c r="T97" s="69"/>
      <c r="U97" s="69"/>
      <c r="V97" s="70"/>
    </row>
    <row r="98" spans="1:22">
      <c r="A98" s="3">
        <v>96</v>
      </c>
      <c r="B98" s="8" t="s">
        <v>343</v>
      </c>
      <c r="C98" s="3" t="s">
        <v>46</v>
      </c>
      <c r="D98" s="8" t="s">
        <v>344</v>
      </c>
      <c r="E98" s="8" t="s">
        <v>57</v>
      </c>
      <c r="F98" s="8" t="s">
        <v>345</v>
      </c>
      <c r="G98" s="8" t="s">
        <v>59</v>
      </c>
      <c r="H98" s="9">
        <v>0.46093108181964298</v>
      </c>
      <c r="I98" s="10">
        <v>0.95417903707997598</v>
      </c>
    </row>
    <row r="99" spans="1:22">
      <c r="A99" s="3">
        <v>97</v>
      </c>
      <c r="B99" s="4" t="s">
        <v>88</v>
      </c>
      <c r="C99" s="5" t="s">
        <v>46</v>
      </c>
      <c r="D99" s="4" t="s">
        <v>346</v>
      </c>
      <c r="E99" s="4" t="s">
        <v>57</v>
      </c>
      <c r="F99" s="4" t="s">
        <v>347</v>
      </c>
      <c r="G99" s="4" t="s">
        <v>59</v>
      </c>
      <c r="H99" s="11">
        <v>-2.7384750649229499E-2</v>
      </c>
      <c r="I99" s="7">
        <v>1.0467874098660801</v>
      </c>
    </row>
    <row r="100" spans="1:22">
      <c r="A100" s="3">
        <v>98</v>
      </c>
      <c r="B100" s="8" t="s">
        <v>91</v>
      </c>
      <c r="C100" s="3" t="s">
        <v>46</v>
      </c>
      <c r="D100" s="8" t="s">
        <v>348</v>
      </c>
      <c r="E100" s="8" t="s">
        <v>93</v>
      </c>
      <c r="F100" s="8" t="s">
        <v>349</v>
      </c>
      <c r="G100" s="8" t="s">
        <v>59</v>
      </c>
      <c r="H100" s="9">
        <v>10.4956932971072</v>
      </c>
      <c r="I100" s="10">
        <v>1.04200570075593</v>
      </c>
    </row>
    <row r="101" spans="1:22">
      <c r="A101" s="3">
        <v>99</v>
      </c>
      <c r="B101" s="4" t="s">
        <v>88</v>
      </c>
      <c r="C101" s="5" t="s">
        <v>46</v>
      </c>
      <c r="D101" s="4" t="s">
        <v>350</v>
      </c>
      <c r="E101" s="4" t="s">
        <v>57</v>
      </c>
      <c r="F101" s="4" t="s">
        <v>351</v>
      </c>
      <c r="G101" s="4" t="s">
        <v>59</v>
      </c>
      <c r="H101" s="11">
        <v>1.2014266772014399E-2</v>
      </c>
      <c r="I101" s="7">
        <v>1.0467760848384899</v>
      </c>
    </row>
    <row r="102" spans="1:22">
      <c r="A102" s="3">
        <v>100</v>
      </c>
      <c r="B102" s="8" t="s">
        <v>352</v>
      </c>
      <c r="C102" s="3" t="s">
        <v>46</v>
      </c>
      <c r="D102" s="8" t="s">
        <v>353</v>
      </c>
      <c r="E102" s="8" t="s">
        <v>57</v>
      </c>
      <c r="F102" s="8" t="s">
        <v>354</v>
      </c>
      <c r="G102" s="8" t="s">
        <v>59</v>
      </c>
      <c r="H102" s="9">
        <v>0.48050657575822198</v>
      </c>
      <c r="I102" s="10">
        <v>0.98965502369653902</v>
      </c>
    </row>
    <row r="103" spans="1:22">
      <c r="A103" s="3">
        <v>101</v>
      </c>
      <c r="B103" s="4" t="s">
        <v>355</v>
      </c>
      <c r="C103" s="5" t="s">
        <v>46</v>
      </c>
      <c r="D103" s="4" t="s">
        <v>356</v>
      </c>
      <c r="E103" s="4" t="s">
        <v>57</v>
      </c>
      <c r="F103" s="4" t="s">
        <v>357</v>
      </c>
      <c r="G103" s="4" t="s">
        <v>59</v>
      </c>
      <c r="H103" s="11">
        <v>0.565856859993907</v>
      </c>
      <c r="I103" s="7">
        <v>0.952433312318128</v>
      </c>
    </row>
    <row r="104" spans="1:22">
      <c r="A104" s="3">
        <v>102</v>
      </c>
      <c r="B104" s="8" t="s">
        <v>358</v>
      </c>
      <c r="C104" s="3" t="s">
        <v>46</v>
      </c>
      <c r="D104" s="8" t="s">
        <v>359</v>
      </c>
      <c r="E104" s="8" t="s">
        <v>57</v>
      </c>
      <c r="F104" s="8" t="s">
        <v>360</v>
      </c>
      <c r="G104" s="8" t="s">
        <v>59</v>
      </c>
      <c r="H104" s="9">
        <v>0.52994358426204902</v>
      </c>
      <c r="I104" s="10">
        <v>0.97189918203564296</v>
      </c>
    </row>
    <row r="105" spans="1:22">
      <c r="A105" s="3">
        <v>103</v>
      </c>
      <c r="B105" s="4" t="s">
        <v>361</v>
      </c>
      <c r="C105" s="5" t="s">
        <v>46</v>
      </c>
      <c r="D105" s="4" t="s">
        <v>362</v>
      </c>
      <c r="E105" s="4" t="s">
        <v>57</v>
      </c>
      <c r="F105" s="4" t="s">
        <v>363</v>
      </c>
      <c r="G105" s="4" t="s">
        <v>59</v>
      </c>
      <c r="H105" s="11">
        <v>0.58910975736154103</v>
      </c>
      <c r="I105" s="7">
        <v>0.97116285365469901</v>
      </c>
    </row>
    <row r="106" spans="1:22">
      <c r="A106" s="3">
        <v>104</v>
      </c>
      <c r="B106" s="8" t="s">
        <v>364</v>
      </c>
      <c r="C106" s="3" t="s">
        <v>46</v>
      </c>
      <c r="D106" s="8" t="s">
        <v>365</v>
      </c>
      <c r="E106" s="8" t="s">
        <v>57</v>
      </c>
      <c r="F106" s="8" t="s">
        <v>366</v>
      </c>
      <c r="G106" s="8" t="s">
        <v>59</v>
      </c>
      <c r="H106" s="9">
        <v>0.61410972766777305</v>
      </c>
      <c r="I106" s="10">
        <v>0.97862090328588902</v>
      </c>
    </row>
    <row r="107" spans="1:22">
      <c r="A107" s="3">
        <v>105</v>
      </c>
      <c r="B107" s="4" t="s">
        <v>367</v>
      </c>
      <c r="C107" s="5" t="s">
        <v>46</v>
      </c>
      <c r="D107" s="4" t="s">
        <v>368</v>
      </c>
      <c r="E107" s="4" t="s">
        <v>57</v>
      </c>
      <c r="F107" s="4" t="s">
        <v>369</v>
      </c>
      <c r="G107" s="4" t="s">
        <v>59</v>
      </c>
      <c r="H107" s="11">
        <v>0.36808779347836201</v>
      </c>
      <c r="I107" s="7">
        <v>1.1217083767671701</v>
      </c>
    </row>
    <row r="108" spans="1:22">
      <c r="A108" s="3">
        <v>106</v>
      </c>
      <c r="B108" s="8" t="s">
        <v>370</v>
      </c>
      <c r="C108" s="3" t="s">
        <v>46</v>
      </c>
      <c r="D108" s="8" t="s">
        <v>371</v>
      </c>
      <c r="E108" s="8" t="s">
        <v>57</v>
      </c>
      <c r="F108" s="8" t="s">
        <v>372</v>
      </c>
      <c r="G108" s="8" t="s">
        <v>59</v>
      </c>
      <c r="H108" s="9">
        <v>0.47017268580562399</v>
      </c>
      <c r="I108" s="10">
        <v>1.1261870123261499</v>
      </c>
    </row>
    <row r="109" spans="1:22">
      <c r="A109" s="3">
        <v>107</v>
      </c>
      <c r="B109" s="4" t="s">
        <v>373</v>
      </c>
      <c r="C109" s="5" t="s">
        <v>46</v>
      </c>
      <c r="D109" s="4" t="s">
        <v>374</v>
      </c>
      <c r="E109" s="4" t="s">
        <v>57</v>
      </c>
      <c r="F109" s="4" t="s">
        <v>375</v>
      </c>
      <c r="G109" s="4" t="s">
        <v>59</v>
      </c>
      <c r="H109" s="11">
        <v>0.70399494107591798</v>
      </c>
      <c r="I109" s="7">
        <v>0.976805912086949</v>
      </c>
    </row>
    <row r="110" spans="1:22">
      <c r="A110" s="3">
        <v>108</v>
      </c>
      <c r="B110" s="8" t="s">
        <v>376</v>
      </c>
      <c r="C110" s="3" t="s">
        <v>46</v>
      </c>
      <c r="D110" s="8" t="s">
        <v>377</v>
      </c>
      <c r="E110" s="8" t="s">
        <v>57</v>
      </c>
      <c r="F110" s="8" t="s">
        <v>378</v>
      </c>
      <c r="G110" s="8" t="s">
        <v>59</v>
      </c>
      <c r="H110" s="9">
        <v>0.68632426925879098</v>
      </c>
      <c r="I110" s="10">
        <v>0.96430552739564201</v>
      </c>
    </row>
    <row r="111" spans="1:22">
      <c r="A111" s="3">
        <v>109</v>
      </c>
      <c r="B111" s="4" t="s">
        <v>379</v>
      </c>
      <c r="C111" s="5" t="s">
        <v>46</v>
      </c>
      <c r="D111" s="4" t="s">
        <v>380</v>
      </c>
      <c r="E111" s="4" t="s">
        <v>57</v>
      </c>
      <c r="F111" s="4" t="s">
        <v>381</v>
      </c>
      <c r="G111" s="4" t="s">
        <v>59</v>
      </c>
      <c r="H111" s="11">
        <v>0.508819104560707</v>
      </c>
      <c r="I111" s="7">
        <v>0.96953901247196295</v>
      </c>
    </row>
    <row r="112" spans="1:22">
      <c r="A112" s="3">
        <v>110</v>
      </c>
      <c r="B112" s="8" t="s">
        <v>382</v>
      </c>
      <c r="C112" s="3" t="s">
        <v>46</v>
      </c>
      <c r="D112" s="8" t="s">
        <v>383</v>
      </c>
      <c r="E112" s="8" t="s">
        <v>57</v>
      </c>
      <c r="F112" s="8" t="s">
        <v>384</v>
      </c>
      <c r="G112" s="8" t="s">
        <v>59</v>
      </c>
      <c r="H112" s="9">
        <v>0.46647986616832898</v>
      </c>
      <c r="I112" s="10">
        <v>0.98026768889611404</v>
      </c>
    </row>
    <row r="113" spans="1:9">
      <c r="A113" s="3">
        <v>111</v>
      </c>
      <c r="B113" s="4" t="s">
        <v>385</v>
      </c>
      <c r="C113" s="5" t="s">
        <v>46</v>
      </c>
      <c r="D113" s="4" t="s">
        <v>386</v>
      </c>
      <c r="E113" s="4" t="s">
        <v>57</v>
      </c>
      <c r="F113" s="4" t="s">
        <v>387</v>
      </c>
      <c r="G113" s="4" t="s">
        <v>59</v>
      </c>
      <c r="H113" s="11">
        <v>0.53423372337417996</v>
      </c>
      <c r="I113" s="7">
        <v>0.98898172818755603</v>
      </c>
    </row>
    <row r="114" spans="1:9">
      <c r="A114" s="3">
        <v>112</v>
      </c>
      <c r="B114" s="8" t="s">
        <v>388</v>
      </c>
      <c r="C114" s="3" t="s">
        <v>46</v>
      </c>
      <c r="D114" s="8" t="s">
        <v>389</v>
      </c>
      <c r="E114" s="8" t="s">
        <v>57</v>
      </c>
      <c r="F114" s="8" t="s">
        <v>390</v>
      </c>
      <c r="G114" s="8" t="s">
        <v>59</v>
      </c>
      <c r="H114" s="9">
        <v>0.49140745755155102</v>
      </c>
      <c r="I114" s="10">
        <v>1.0062894734599299</v>
      </c>
    </row>
    <row r="115" spans="1:9">
      <c r="A115" s="3">
        <v>113</v>
      </c>
      <c r="B115" s="4" t="s">
        <v>391</v>
      </c>
      <c r="C115" s="5" t="s">
        <v>46</v>
      </c>
      <c r="D115" s="4" t="s">
        <v>392</v>
      </c>
      <c r="E115" s="4" t="s">
        <v>57</v>
      </c>
      <c r="F115" s="4" t="s">
        <v>393</v>
      </c>
      <c r="G115" s="4" t="s">
        <v>59</v>
      </c>
      <c r="H115" s="11">
        <v>0.492716850458575</v>
      </c>
      <c r="I115" s="7">
        <v>0.98611804476156595</v>
      </c>
    </row>
    <row r="116" spans="1:9">
      <c r="A116" s="3">
        <v>114</v>
      </c>
      <c r="B116" s="8" t="s">
        <v>394</v>
      </c>
      <c r="C116" s="3" t="s">
        <v>46</v>
      </c>
      <c r="D116" s="8" t="s">
        <v>395</v>
      </c>
      <c r="E116" s="8" t="s">
        <v>57</v>
      </c>
      <c r="F116" s="8" t="s">
        <v>396</v>
      </c>
      <c r="G116" s="8" t="s">
        <v>59</v>
      </c>
      <c r="H116" s="9">
        <v>0.64731683040691101</v>
      </c>
      <c r="I116" s="10">
        <v>0.99458182672598705</v>
      </c>
    </row>
    <row r="117" spans="1:9">
      <c r="A117" s="3">
        <v>115</v>
      </c>
      <c r="B117" s="4" t="s">
        <v>397</v>
      </c>
      <c r="C117" s="5" t="s">
        <v>46</v>
      </c>
      <c r="D117" s="4" t="s">
        <v>398</v>
      </c>
      <c r="E117" s="4" t="s">
        <v>57</v>
      </c>
      <c r="F117" s="4" t="s">
        <v>399</v>
      </c>
      <c r="G117" s="4" t="s">
        <v>59</v>
      </c>
      <c r="H117" s="11">
        <v>0.557758103683484</v>
      </c>
      <c r="I117" s="7">
        <v>0.98053783238624603</v>
      </c>
    </row>
    <row r="118" spans="1:9">
      <c r="A118" s="3">
        <v>116</v>
      </c>
      <c r="B118" s="8" t="s">
        <v>400</v>
      </c>
      <c r="C118" s="3" t="s">
        <v>46</v>
      </c>
      <c r="D118" s="8" t="s">
        <v>401</v>
      </c>
      <c r="E118" s="8" t="s">
        <v>57</v>
      </c>
      <c r="F118" s="8" t="s">
        <v>402</v>
      </c>
      <c r="G118" s="8" t="s">
        <v>59</v>
      </c>
      <c r="H118" s="9">
        <v>0.459618127724371</v>
      </c>
      <c r="I118" s="10">
        <v>1.0427239940142601</v>
      </c>
    </row>
    <row r="119" spans="1:9">
      <c r="A119" s="3">
        <v>117</v>
      </c>
      <c r="B119" s="4" t="s">
        <v>403</v>
      </c>
      <c r="C119" s="5" t="s">
        <v>46</v>
      </c>
      <c r="D119" s="4" t="s">
        <v>404</v>
      </c>
      <c r="E119" s="4" t="s">
        <v>57</v>
      </c>
      <c r="F119" s="4" t="s">
        <v>405</v>
      </c>
      <c r="G119" s="4" t="s">
        <v>59</v>
      </c>
      <c r="H119" s="11">
        <v>0.673362242685552</v>
      </c>
      <c r="I119" s="7">
        <v>0.99667591286145896</v>
      </c>
    </row>
    <row r="120" spans="1:9">
      <c r="A120" s="3">
        <v>118</v>
      </c>
      <c r="B120" s="8" t="s">
        <v>406</v>
      </c>
      <c r="C120" s="3" t="s">
        <v>46</v>
      </c>
      <c r="D120" s="8" t="s">
        <v>407</v>
      </c>
      <c r="E120" s="8" t="s">
        <v>57</v>
      </c>
      <c r="F120" s="8" t="s">
        <v>408</v>
      </c>
      <c r="G120" s="8" t="s">
        <v>59</v>
      </c>
      <c r="H120" s="9">
        <v>0.635008817618675</v>
      </c>
      <c r="I120" s="10">
        <v>1.03263031535475</v>
      </c>
    </row>
    <row r="121" spans="1:9">
      <c r="A121" s="3">
        <v>119</v>
      </c>
      <c r="B121" s="4" t="s">
        <v>409</v>
      </c>
      <c r="C121" s="5" t="s">
        <v>46</v>
      </c>
      <c r="D121" s="4" t="s">
        <v>410</v>
      </c>
      <c r="E121" s="4" t="s">
        <v>57</v>
      </c>
      <c r="F121" s="4" t="s">
        <v>411</v>
      </c>
      <c r="G121" s="4" t="s">
        <v>59</v>
      </c>
      <c r="H121" s="11">
        <v>0.71201679620151803</v>
      </c>
      <c r="I121" s="7">
        <v>0.98180314524501799</v>
      </c>
    </row>
    <row r="122" spans="1:9">
      <c r="A122" s="3">
        <v>120</v>
      </c>
      <c r="B122" s="8" t="s">
        <v>88</v>
      </c>
      <c r="C122" s="3" t="s">
        <v>46</v>
      </c>
      <c r="D122" s="8" t="s">
        <v>412</v>
      </c>
      <c r="E122" s="8" t="s">
        <v>57</v>
      </c>
      <c r="F122" s="8" t="s">
        <v>413</v>
      </c>
      <c r="G122" s="8" t="s">
        <v>59</v>
      </c>
      <c r="H122" s="9">
        <v>-5.1508861125002204E-3</v>
      </c>
      <c r="I122" s="10">
        <v>1.2696213579753099</v>
      </c>
    </row>
    <row r="123" spans="1:9">
      <c r="A123" s="3">
        <v>121</v>
      </c>
      <c r="B123" s="4" t="s">
        <v>367</v>
      </c>
      <c r="C123" s="5" t="s">
        <v>46</v>
      </c>
      <c r="D123" s="4" t="s">
        <v>414</v>
      </c>
      <c r="E123" s="4" t="s">
        <v>57</v>
      </c>
      <c r="F123" s="4" t="s">
        <v>415</v>
      </c>
      <c r="G123" s="4" t="s">
        <v>59</v>
      </c>
      <c r="H123" s="11">
        <v>0.50813709630508797</v>
      </c>
      <c r="I123" s="7">
        <v>1.17222875131953</v>
      </c>
    </row>
    <row r="124" spans="1:9">
      <c r="A124" s="3">
        <v>122</v>
      </c>
      <c r="B124" s="8" t="s">
        <v>370</v>
      </c>
      <c r="C124" s="3" t="s">
        <v>46</v>
      </c>
      <c r="D124" s="8" t="s">
        <v>416</v>
      </c>
      <c r="E124" s="8" t="s">
        <v>57</v>
      </c>
      <c r="F124" s="8" t="s">
        <v>417</v>
      </c>
      <c r="G124" s="8" t="s">
        <v>59</v>
      </c>
      <c r="H124" s="9">
        <v>0.65921133777199303</v>
      </c>
      <c r="I124" s="10">
        <v>1.0778686516715399</v>
      </c>
    </row>
    <row r="125" spans="1:9">
      <c r="A125" s="3">
        <v>123</v>
      </c>
      <c r="B125" s="4" t="s">
        <v>400</v>
      </c>
      <c r="C125" s="5" t="s">
        <v>46</v>
      </c>
      <c r="D125" s="4" t="s">
        <v>418</v>
      </c>
      <c r="E125" s="4" t="s">
        <v>57</v>
      </c>
      <c r="F125" s="4" t="s">
        <v>419</v>
      </c>
      <c r="G125" s="4" t="s">
        <v>59</v>
      </c>
      <c r="H125" s="11">
        <v>0.57547637885541902</v>
      </c>
      <c r="I125" s="7">
        <v>1.1547201517372301</v>
      </c>
    </row>
    <row r="126" spans="1:9">
      <c r="A126" s="3">
        <v>124</v>
      </c>
      <c r="B126" s="8" t="s">
        <v>88</v>
      </c>
      <c r="C126" s="3" t="s">
        <v>46</v>
      </c>
      <c r="D126" s="8" t="s">
        <v>420</v>
      </c>
      <c r="E126" s="8" t="s">
        <v>57</v>
      </c>
      <c r="F126" s="8" t="s">
        <v>421</v>
      </c>
      <c r="G126" s="8" t="s">
        <v>59</v>
      </c>
      <c r="H126" s="9">
        <v>-1.73475673380117E-2</v>
      </c>
      <c r="I126" s="10">
        <v>1.5047240767043899</v>
      </c>
    </row>
    <row r="127" spans="1:9">
      <c r="A127" s="3">
        <v>125</v>
      </c>
      <c r="B127" s="4" t="s">
        <v>91</v>
      </c>
      <c r="C127" s="5" t="s">
        <v>46</v>
      </c>
      <c r="D127" s="4" t="s">
        <v>422</v>
      </c>
      <c r="E127" s="4" t="s">
        <v>93</v>
      </c>
      <c r="F127" s="4" t="s">
        <v>423</v>
      </c>
      <c r="G127" s="4" t="s">
        <v>59</v>
      </c>
      <c r="H127" s="11">
        <v>10.413596560117099</v>
      </c>
      <c r="I127" s="7">
        <v>1.2387243410230999</v>
      </c>
    </row>
    <row r="128" spans="1:9">
      <c r="A128" s="3">
        <v>126</v>
      </c>
      <c r="B128" s="8" t="s">
        <v>88</v>
      </c>
      <c r="C128" s="3" t="s">
        <v>46</v>
      </c>
      <c r="D128" s="8" t="s">
        <v>424</v>
      </c>
      <c r="E128" s="8" t="s">
        <v>57</v>
      </c>
      <c r="F128" s="8" t="s">
        <v>425</v>
      </c>
      <c r="G128" s="8" t="s">
        <v>59</v>
      </c>
      <c r="H128" s="9">
        <v>-1.72214920651085E-2</v>
      </c>
      <c r="I128" s="10">
        <v>1.5695753745025001</v>
      </c>
    </row>
    <row r="129" spans="1:9">
      <c r="A129" s="14">
        <v>127</v>
      </c>
      <c r="B129" s="15" t="s">
        <v>294</v>
      </c>
      <c r="C129" s="16" t="s">
        <v>46</v>
      </c>
      <c r="D129" s="15" t="s">
        <v>426</v>
      </c>
      <c r="E129" s="15" t="s">
        <v>57</v>
      </c>
      <c r="F129" s="15" t="s">
        <v>427</v>
      </c>
      <c r="G129" s="15" t="s">
        <v>59</v>
      </c>
      <c r="H129" s="17">
        <v>0.63249301843982397</v>
      </c>
      <c r="I129" s="18">
        <v>1.14607548109312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2025-09-04T13:38:44Z</dcterms:created>
  <dcterms:modified xsi:type="dcterms:W3CDTF">2026-09-10T16:27:34Z</dcterms:modified>
  <cp:category/>
  <cp:contentStatus/>
</cp:coreProperties>
</file>