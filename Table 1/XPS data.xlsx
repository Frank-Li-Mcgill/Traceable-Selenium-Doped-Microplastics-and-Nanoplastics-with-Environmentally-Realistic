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Thesis\Manuscript\Figures and tables supplementary\Table 1\"/>
    </mc:Choice>
  </mc:AlternateContent>
  <xr:revisionPtr revIDLastSave="14" documentId="8_{0E01EC9D-A72B-4D82-ADC6-67B80CF6D10D}" xr6:coauthVersionLast="47" xr6:coauthVersionMax="47" xr10:uidLastSave="{89B98658-A528-437F-B035-F5DC2EE95567}"/>
  <bookViews>
    <workbookView xWindow="-120" yWindow="-120" windowWidth="29040" windowHeight="15720" xr2:uid="{52D0AA74-22B7-424B-81EF-0AC8332B0CEF}"/>
  </bookViews>
  <sheets>
    <sheet name="Description" sheetId="2" r:id="rId1"/>
    <sheet name="Table 1 XP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J20" i="1"/>
  <c r="I20" i="1"/>
  <c r="K29" i="1"/>
  <c r="K25" i="1"/>
  <c r="G24" i="1"/>
  <c r="G25" i="1"/>
  <c r="H24" i="1" s="1"/>
  <c r="L37" i="1"/>
  <c r="J21" i="1"/>
  <c r="H69" i="1"/>
  <c r="M61" i="1"/>
  <c r="L61" i="1"/>
  <c r="M37" i="1"/>
  <c r="M49" i="1"/>
  <c r="L49" i="1"/>
  <c r="I22" i="1"/>
  <c r="I21" i="1"/>
  <c r="H22" i="1"/>
  <c r="F70" i="1"/>
  <c r="E70" i="1"/>
  <c r="G70" i="1" s="1"/>
  <c r="D70" i="1"/>
  <c r="G69" i="1"/>
  <c r="G68" i="1"/>
  <c r="G67" i="1"/>
  <c r="G66" i="1"/>
  <c r="H66" i="1" s="1"/>
  <c r="F66" i="1"/>
  <c r="E66" i="1"/>
  <c r="D66" i="1"/>
  <c r="G62" i="1"/>
  <c r="G58" i="1"/>
  <c r="G54" i="1"/>
  <c r="G50" i="1"/>
  <c r="G46" i="1"/>
  <c r="H45" i="1" s="1"/>
  <c r="I45" i="1" s="1"/>
  <c r="G42" i="1"/>
  <c r="G38" i="1"/>
  <c r="G34" i="1"/>
  <c r="G30" i="1"/>
  <c r="H28" i="1" s="1"/>
  <c r="I28" i="1" s="1"/>
  <c r="G28" i="1"/>
  <c r="J22" i="1"/>
  <c r="F46" i="1"/>
  <c r="E46" i="1"/>
  <c r="D46" i="1"/>
  <c r="F62" i="1"/>
  <c r="E62" i="1"/>
  <c r="D62" i="1"/>
  <c r="F58" i="1"/>
  <c r="E58" i="1"/>
  <c r="D58" i="1"/>
  <c r="F54" i="1"/>
  <c r="E54" i="1"/>
  <c r="D54" i="1"/>
  <c r="F50" i="1"/>
  <c r="E50" i="1"/>
  <c r="D50" i="1"/>
  <c r="F42" i="1"/>
  <c r="E42" i="1"/>
  <c r="D42" i="1"/>
  <c r="F38" i="1"/>
  <c r="E38" i="1"/>
  <c r="D38" i="1"/>
  <c r="F34" i="1"/>
  <c r="E34" i="1"/>
  <c r="D34" i="1"/>
  <c r="F30" i="1"/>
  <c r="E30" i="1"/>
  <c r="D30" i="1"/>
  <c r="E26" i="1"/>
  <c r="F26" i="1"/>
  <c r="D26" i="1"/>
  <c r="D22" i="1"/>
  <c r="I19" i="1"/>
  <c r="E22" i="1"/>
  <c r="F22" i="1"/>
  <c r="G23" i="1"/>
  <c r="G27" i="1"/>
  <c r="G29" i="1"/>
  <c r="G31" i="1"/>
  <c r="G32" i="1"/>
  <c r="G33" i="1"/>
  <c r="G35" i="1"/>
  <c r="G36" i="1"/>
  <c r="G37" i="1"/>
  <c r="G39" i="1"/>
  <c r="G40" i="1"/>
  <c r="G41" i="1"/>
  <c r="G43" i="1"/>
  <c r="G44" i="1"/>
  <c r="G45" i="1"/>
  <c r="G47" i="1"/>
  <c r="G48" i="1"/>
  <c r="H48" i="1" s="1"/>
  <c r="I48" i="1" s="1"/>
  <c r="G49" i="1"/>
  <c r="G51" i="1"/>
  <c r="G52" i="1"/>
  <c r="H54" i="1" s="1"/>
  <c r="I54" i="1" s="1"/>
  <c r="G53" i="1"/>
  <c r="G55" i="1"/>
  <c r="G56" i="1"/>
  <c r="G57" i="1"/>
  <c r="G59" i="1"/>
  <c r="G60" i="1"/>
  <c r="G61" i="1"/>
  <c r="G63" i="1"/>
  <c r="G64" i="1"/>
  <c r="G65" i="1"/>
  <c r="G20" i="1"/>
  <c r="G21" i="1"/>
  <c r="G19" i="1"/>
  <c r="B2" i="1"/>
  <c r="B5" i="1" s="1"/>
  <c r="B7" i="1"/>
  <c r="M25" i="1" l="1"/>
  <c r="K21" i="1"/>
  <c r="G26" i="1"/>
  <c r="H25" i="1" s="1"/>
  <c r="I25" i="1" s="1"/>
  <c r="H68" i="1"/>
  <c r="I68" i="1" s="1"/>
  <c r="I69" i="1"/>
  <c r="H70" i="1"/>
  <c r="I70" i="1" s="1"/>
  <c r="I66" i="1"/>
  <c r="H65" i="1"/>
  <c r="H61" i="1"/>
  <c r="I61" i="1" s="1"/>
  <c r="H60" i="1"/>
  <c r="I60" i="1" s="1"/>
  <c r="H57" i="1"/>
  <c r="I57" i="1" s="1"/>
  <c r="H53" i="1"/>
  <c r="I53" i="1" s="1"/>
  <c r="H49" i="1"/>
  <c r="I49" i="1" s="1"/>
  <c r="H46" i="1"/>
  <c r="I46" i="1" s="1"/>
  <c r="H42" i="1"/>
  <c r="I42" i="1" s="1"/>
  <c r="H41" i="1"/>
  <c r="I41" i="1" s="1"/>
  <c r="J42" i="1" s="1"/>
  <c r="H37" i="1"/>
  <c r="I37" i="1" s="1"/>
  <c r="J37" i="1" s="1"/>
  <c r="H36" i="1"/>
  <c r="I36" i="1" s="1"/>
  <c r="J38" i="1" s="1"/>
  <c r="H32" i="1"/>
  <c r="I32" i="1" s="1"/>
  <c r="H29" i="1"/>
  <c r="I29" i="1" s="1"/>
  <c r="H26" i="1"/>
  <c r="I26" i="1" s="1"/>
  <c r="H30" i="1"/>
  <c r="I30" i="1" s="1"/>
  <c r="H40" i="1"/>
  <c r="I40" i="1" s="1"/>
  <c r="H38" i="1"/>
  <c r="I38" i="1" s="1"/>
  <c r="H33" i="1"/>
  <c r="H34" i="1"/>
  <c r="I34" i="1" s="1"/>
  <c r="H52" i="1"/>
  <c r="I52" i="1" s="1"/>
  <c r="J52" i="1" s="1"/>
  <c r="H50" i="1"/>
  <c r="H44" i="1"/>
  <c r="I44" i="1" s="1"/>
  <c r="I65" i="1"/>
  <c r="H64" i="1"/>
  <c r="I64" i="1" s="1"/>
  <c r="J66" i="1" s="1"/>
  <c r="H62" i="1"/>
  <c r="I62" i="1" s="1"/>
  <c r="H58" i="1"/>
  <c r="I58" i="1" s="1"/>
  <c r="H56" i="1"/>
  <c r="I56" i="1" s="1"/>
  <c r="C7" i="1"/>
  <c r="D7" i="1" s="1"/>
  <c r="G22" i="1"/>
  <c r="C2" i="1"/>
  <c r="D2" i="1" s="1"/>
  <c r="C3" i="1"/>
  <c r="D3" i="1" s="1"/>
  <c r="J70" i="1" l="1"/>
  <c r="J69" i="1"/>
  <c r="J68" i="1"/>
  <c r="J65" i="1"/>
  <c r="J62" i="1"/>
  <c r="J56" i="1"/>
  <c r="J58" i="1"/>
  <c r="J45" i="1"/>
  <c r="K45" i="1" s="1"/>
  <c r="J40" i="1"/>
  <c r="J36" i="1"/>
  <c r="J29" i="1"/>
  <c r="J28" i="1"/>
  <c r="J30" i="1"/>
  <c r="I24" i="1"/>
  <c r="J24" i="1" s="1"/>
  <c r="J41" i="1"/>
  <c r="I33" i="1"/>
  <c r="J32" i="1" s="1"/>
  <c r="J54" i="1"/>
  <c r="J53" i="1"/>
  <c r="I50" i="1"/>
  <c r="J46" i="1"/>
  <c r="J44" i="1"/>
  <c r="J64" i="1"/>
  <c r="J60" i="1"/>
  <c r="J61" i="1"/>
  <c r="J57" i="1"/>
  <c r="H21" i="1"/>
  <c r="H20" i="1"/>
  <c r="E3" i="1"/>
  <c r="E2" i="1"/>
  <c r="E7" i="1"/>
  <c r="J26" i="1" l="1"/>
  <c r="J25" i="1"/>
  <c r="J33" i="1"/>
  <c r="K33" i="1" s="1"/>
  <c r="J34" i="1"/>
  <c r="J48" i="1"/>
  <c r="J49" i="1"/>
  <c r="J50" i="1"/>
</calcChain>
</file>

<file path=xl/sharedStrings.xml><?xml version="1.0" encoding="utf-8"?>
<sst xmlns="http://schemas.openxmlformats.org/spreadsheetml/2006/main" count="116" uniqueCount="53">
  <si>
    <t>Table 1 XPS data for measured Se-to-polymer ratio</t>
  </si>
  <si>
    <t>1. Raw atomic ratios from XPS under yellow highlight in Table 1 XPS tab</t>
  </si>
  <si>
    <t>2. Average was taken, and normalized without O element</t>
  </si>
  <si>
    <t>3. Convert to weight % with molecular weight of elements</t>
  </si>
  <si>
    <t>4. Average values for Se% and standard deviation</t>
  </si>
  <si>
    <t>From XPS</t>
  </si>
  <si>
    <t>At%</t>
  </si>
  <si>
    <t>Normalized without O, with H</t>
  </si>
  <si>
    <t>W</t>
  </si>
  <si>
    <t>W%</t>
  </si>
  <si>
    <t>Se</t>
  </si>
  <si>
    <t>If Homopolymerization, the expected AT% is 7%</t>
  </si>
  <si>
    <t>C</t>
  </si>
  <si>
    <t>For a 5.8% Se-to-polymer weight, AT% is 1%</t>
  </si>
  <si>
    <t>O</t>
  </si>
  <si>
    <t>For 3% Se-to-polymer weight, AT% is 0.5%</t>
  </si>
  <si>
    <t>Sum</t>
  </si>
  <si>
    <t>For 1% Se-to-polymer weight, AT% is 0.162%</t>
  </si>
  <si>
    <t>For 0.5% Se-to-polymer weight, AT% is 0.082%</t>
  </si>
  <si>
    <t>H Assume 1C for 1H</t>
  </si>
  <si>
    <t>M_O (g/mol)</t>
  </si>
  <si>
    <t>M_Se (g/mol)</t>
  </si>
  <si>
    <t>M_C (g/mol)</t>
  </si>
  <si>
    <t>M_H (g/mol)</t>
  </si>
  <si>
    <t>N_A (Atoms/mol)</t>
  </si>
  <si>
    <t>FOR TABLE 1</t>
  </si>
  <si>
    <t>Raw At% from XPS</t>
  </si>
  <si>
    <t>% difference</t>
  </si>
  <si>
    <t>Average %weight</t>
  </si>
  <si>
    <t>Stdev</t>
  </si>
  <si>
    <t>Theoretical %</t>
  </si>
  <si>
    <t>Model</t>
  </si>
  <si>
    <t>Element</t>
  </si>
  <si>
    <t>R1</t>
  </si>
  <si>
    <t>R2</t>
  </si>
  <si>
    <t>R3</t>
  </si>
  <si>
    <t>Average</t>
  </si>
  <si>
    <t>Weight</t>
  </si>
  <si>
    <t>3D</t>
  </si>
  <si>
    <t>Not from XPS</t>
  </si>
  <si>
    <t>H</t>
  </si>
  <si>
    <t>3E</t>
  </si>
  <si>
    <t>3F</t>
  </si>
  <si>
    <t>1G</t>
  </si>
  <si>
    <t xml:space="preserve">Summary XPS data for Table </t>
  </si>
  <si>
    <t>1H</t>
  </si>
  <si>
    <t>1I</t>
  </si>
  <si>
    <t>0.5D</t>
  </si>
  <si>
    <t>0.5E</t>
  </si>
  <si>
    <t>0.5F</t>
  </si>
  <si>
    <t>0B</t>
  </si>
  <si>
    <t>0C</t>
  </si>
  <si>
    <t>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</si>
</sst>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Avenir LT Std 55 Roman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2" fontId="1" fillId="0" borderId="0" xfId="0" applyNumberFormat="1" applyFon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21DF-01BB-4689-B33B-A18404FADFDE}">
  <dimension ref="A1:A6"/>
  <sheetViews>
    <sheetView tabSelected="1" workbookViewId="0">
      <selection activeCell="C16" sqref="C16"/>
    </sheetView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BF9F-95FA-4184-A3C8-7085F11E99E0}">
  <dimension ref="A1:O70"/>
  <sheetViews>
    <sheetView topLeftCell="B5" workbookViewId="0">
      <selection activeCell="L26" sqref="L26"/>
    </sheetView>
  </sheetViews>
  <sheetFormatPr defaultRowHeight="15.75"/>
  <cols>
    <col min="1" max="1" width="17.77734375" bestFit="1" customWidth="1"/>
    <col min="2" max="2" width="12.109375" bestFit="1" customWidth="1"/>
    <col min="3" max="3" width="25.88671875" bestFit="1" customWidth="1"/>
    <col min="8" max="8" width="25.88671875" bestFit="1" customWidth="1"/>
  </cols>
  <sheetData>
    <row r="1" spans="1:11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1">
      <c r="A2" t="s">
        <v>10</v>
      </c>
      <c r="B2">
        <f>(0.36+0.39+0.39)/3</f>
        <v>0.38000000000000006</v>
      </c>
      <c r="C2" s="1">
        <f>B2/(B3+B2+B7)*100</f>
        <v>0.19350239331907529</v>
      </c>
      <c r="D2" s="2">
        <f>C2*B11/B14</f>
        <v>2.5371884716828598E-23</v>
      </c>
      <c r="E2" s="3">
        <f>D2/(D3+D2+D7)*100</f>
        <v>2.2975198106411443</v>
      </c>
      <c r="G2" t="s">
        <v>11</v>
      </c>
    </row>
    <row r="3" spans="1:11">
      <c r="A3" t="s">
        <v>12</v>
      </c>
      <c r="B3">
        <v>98</v>
      </c>
      <c r="C3" s="1">
        <f>B3/(B3+B2+B7)*100</f>
        <v>49.90324880334046</v>
      </c>
      <c r="D3" s="2">
        <f>C3*B12/B14</f>
        <v>9.952474562074377E-22</v>
      </c>
      <c r="E3" s="3">
        <f>D3/(D3+D2+D7)*100</f>
        <v>90.123409145483862</v>
      </c>
      <c r="G3" t="s">
        <v>13</v>
      </c>
    </row>
    <row r="4" spans="1:11">
      <c r="A4" t="s">
        <v>14</v>
      </c>
      <c r="B4">
        <v>1.4</v>
      </c>
      <c r="E4" s="3"/>
      <c r="G4" t="s">
        <v>15</v>
      </c>
    </row>
    <row r="5" spans="1:11">
      <c r="A5" t="s">
        <v>16</v>
      </c>
      <c r="B5">
        <f>SUM(B2:B4)</f>
        <v>99.78</v>
      </c>
      <c r="E5" s="3"/>
      <c r="G5" t="s">
        <v>17</v>
      </c>
    </row>
    <row r="6" spans="1:11">
      <c r="E6" s="3"/>
      <c r="G6" t="s">
        <v>18</v>
      </c>
    </row>
    <row r="7" spans="1:11">
      <c r="A7" t="s">
        <v>19</v>
      </c>
      <c r="B7">
        <f>B3</f>
        <v>98</v>
      </c>
      <c r="C7">
        <f>B7/(B3+B2+B7)*100</f>
        <v>49.90324880334046</v>
      </c>
      <c r="D7" s="2">
        <f>C7*B13/B14</f>
        <v>8.3696913469568027E-23</v>
      </c>
      <c r="E7" s="3">
        <f>D7/(D3+D2+D7)*100</f>
        <v>7.5790710438749951</v>
      </c>
    </row>
    <row r="10" spans="1:11">
      <c r="A10" t="s">
        <v>20</v>
      </c>
      <c r="B10">
        <v>15.999000000000001</v>
      </c>
    </row>
    <row r="11" spans="1:11">
      <c r="A11" t="s">
        <v>21</v>
      </c>
      <c r="B11">
        <v>78.959999999999994</v>
      </c>
    </row>
    <row r="12" spans="1:11">
      <c r="A12" t="s">
        <v>22</v>
      </c>
      <c r="B12">
        <v>12.01</v>
      </c>
    </row>
    <row r="13" spans="1:11">
      <c r="A13" t="s">
        <v>23</v>
      </c>
      <c r="B13">
        <v>1.01</v>
      </c>
    </row>
    <row r="14" spans="1:11">
      <c r="A14" t="s">
        <v>24</v>
      </c>
      <c r="B14" s="2">
        <v>6.0220000000000003E+23</v>
      </c>
    </row>
    <row r="16" spans="1:11">
      <c r="K16" t="s">
        <v>25</v>
      </c>
    </row>
    <row r="17" spans="1:13">
      <c r="D17" s="9" t="s">
        <v>26</v>
      </c>
      <c r="E17" s="9"/>
      <c r="F17" s="9"/>
      <c r="K17" t="s">
        <v>27</v>
      </c>
      <c r="L17" t="s">
        <v>28</v>
      </c>
      <c r="M17" t="s">
        <v>29</v>
      </c>
    </row>
    <row r="18" spans="1:13">
      <c r="A18" t="s">
        <v>30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7</v>
      </c>
      <c r="I18" t="s">
        <v>37</v>
      </c>
      <c r="J18" t="s">
        <v>9</v>
      </c>
    </row>
    <row r="19" spans="1:13">
      <c r="B19" s="8" t="s">
        <v>38</v>
      </c>
      <c r="C19" t="s">
        <v>14</v>
      </c>
      <c r="D19" s="3">
        <v>1.47</v>
      </c>
      <c r="E19" s="3">
        <v>3.36</v>
      </c>
      <c r="F19" s="3">
        <v>1.95</v>
      </c>
      <c r="G19">
        <f>AVERAGE(D19:F19)</f>
        <v>2.2600000000000002</v>
      </c>
      <c r="H19" s="1">
        <v>0</v>
      </c>
      <c r="I19" s="2">
        <f>H19*$B$10/$B$14</f>
        <v>0</v>
      </c>
    </row>
    <row r="20" spans="1:13">
      <c r="A20">
        <v>3</v>
      </c>
      <c r="B20" s="8"/>
      <c r="C20" t="s">
        <v>12</v>
      </c>
      <c r="D20" s="3">
        <v>98.07</v>
      </c>
      <c r="E20" s="3">
        <v>96.23</v>
      </c>
      <c r="F20" s="3">
        <v>97.66</v>
      </c>
      <c r="G20">
        <f t="shared" ref="G20:G65" si="0">AVERAGE(D20:F20)</f>
        <v>97.320000000000007</v>
      </c>
      <c r="H20">
        <f>G20/(G20+G22+G21)*100</f>
        <v>49.892340818209782</v>
      </c>
      <c r="I20" s="2">
        <f>H20*$B$12/$B$14</f>
        <v>9.950299123658244E-22</v>
      </c>
      <c r="J20" s="3">
        <f>I20/(I20+I22+I21)*100</f>
        <v>89.890065875569192</v>
      </c>
    </row>
    <row r="21" spans="1:13">
      <c r="B21" s="8"/>
      <c r="C21" t="s">
        <v>10</v>
      </c>
      <c r="D21" s="3">
        <v>0.46</v>
      </c>
      <c r="E21" s="3">
        <v>0.41</v>
      </c>
      <c r="F21" s="3">
        <v>0.39</v>
      </c>
      <c r="G21">
        <f t="shared" si="0"/>
        <v>0.42</v>
      </c>
      <c r="H21">
        <f>G21/(G20+G22+G21)*100</f>
        <v>0.21531836358043679</v>
      </c>
      <c r="I21" s="2">
        <f>H21*$B$11/$B$14</f>
        <v>2.823237792811572E-23</v>
      </c>
      <c r="J21" s="3">
        <f>I21/(I20+I22+I21)*100</f>
        <v>2.5504864529632929</v>
      </c>
      <c r="K21">
        <f>(A20-J21)/A20</f>
        <v>0.14983784901223571</v>
      </c>
    </row>
    <row r="22" spans="1:13">
      <c r="B22" s="4" t="s">
        <v>39</v>
      </c>
      <c r="C22" t="s">
        <v>40</v>
      </c>
      <c r="D22">
        <f>D20</f>
        <v>98.07</v>
      </c>
      <c r="E22">
        <f t="shared" ref="E22:F22" si="1">E20</f>
        <v>96.23</v>
      </c>
      <c r="F22">
        <f t="shared" si="1"/>
        <v>97.66</v>
      </c>
      <c r="G22">
        <f>G20</f>
        <v>97.320000000000007</v>
      </c>
      <c r="H22">
        <f>G22/(G20+G22+G21)*100</f>
        <v>49.892340818209782</v>
      </c>
      <c r="I22" s="2">
        <f>H22*$B$13/$B$14</f>
        <v>8.3678618775144268E-23</v>
      </c>
      <c r="J22" s="3">
        <f>I22/(I20+I22+I21)*100</f>
        <v>7.5594476714675176</v>
      </c>
    </row>
    <row r="23" spans="1:13">
      <c r="B23" s="6" t="s">
        <v>41</v>
      </c>
      <c r="C23" t="s">
        <v>14</v>
      </c>
      <c r="D23" s="3">
        <v>2.17</v>
      </c>
      <c r="E23" s="3">
        <v>1.81</v>
      </c>
      <c r="F23" s="3">
        <v>3.43</v>
      </c>
      <c r="G23">
        <f t="shared" si="0"/>
        <v>2.4700000000000002</v>
      </c>
      <c r="H23" s="1"/>
      <c r="I23" s="2"/>
    </row>
    <row r="24" spans="1:13">
      <c r="A24">
        <v>3</v>
      </c>
      <c r="B24" s="6"/>
      <c r="C24" t="s">
        <v>12</v>
      </c>
      <c r="D24" s="3">
        <v>97.23</v>
      </c>
      <c r="E24" s="3">
        <v>97.35</v>
      </c>
      <c r="F24" s="3">
        <v>96.08</v>
      </c>
      <c r="G24" s="3">
        <f>AVERAGE(D24:F24)</f>
        <v>96.886666666666656</v>
      </c>
      <c r="H24">
        <f>G24/(G24+G26+G25)*100</f>
        <v>49.855917667238423</v>
      </c>
      <c r="I24" s="2">
        <f t="shared" ref="I24" si="2">H24*$B$12/$B$14</f>
        <v>9.9430350578467853E-22</v>
      </c>
      <c r="J24" s="3">
        <f>I24/(I24+I26+I25)*100</f>
        <v>89.118856403524489</v>
      </c>
    </row>
    <row r="25" spans="1:13">
      <c r="B25" s="6"/>
      <c r="C25" t="s">
        <v>10</v>
      </c>
      <c r="D25" s="3">
        <v>0.61</v>
      </c>
      <c r="E25" s="3">
        <v>0.57999999999999996</v>
      </c>
      <c r="F25" s="3">
        <v>0.49</v>
      </c>
      <c r="G25">
        <f t="shared" si="0"/>
        <v>0.55999999999999994</v>
      </c>
      <c r="H25">
        <f>G25/(G24+G26+G25)*100</f>
        <v>0.28816466552315606</v>
      </c>
      <c r="I25" s="2">
        <f t="shared" ref="I25" si="3">H25*$B$11/$B$14</f>
        <v>3.7783928910176687E-23</v>
      </c>
      <c r="J25" s="3">
        <f>I25/(I24+I26+I25)*100</f>
        <v>3.3865520088352294</v>
      </c>
      <c r="K25">
        <f>(A24-J25)/A24</f>
        <v>-0.12885066961174316</v>
      </c>
      <c r="L25" s="3">
        <f>AVERAGE(J21,J25,J29)</f>
        <v>2.7444457659306241</v>
      </c>
      <c r="M25" s="3">
        <f>STDEV(J21,J25,J29)</f>
        <v>0.57041928135189746</v>
      </c>
    </row>
    <row r="26" spans="1:13">
      <c r="B26" s="4" t="s">
        <v>39</v>
      </c>
      <c r="C26" t="s">
        <v>40</v>
      </c>
      <c r="D26">
        <f>D24</f>
        <v>97.23</v>
      </c>
      <c r="E26">
        <f t="shared" ref="E26:G26" si="4">E24</f>
        <v>97.35</v>
      </c>
      <c r="F26">
        <f t="shared" si="4"/>
        <v>96.08</v>
      </c>
      <c r="G26" s="3">
        <f>G24</f>
        <v>96.886666666666656</v>
      </c>
      <c r="H26">
        <f>G26/(G24+G26+G25)*100</f>
        <v>49.855917667238423</v>
      </c>
      <c r="I26" s="2">
        <f t="shared" ref="I26" si="5">H26*$B$13/$B$14</f>
        <v>8.3617530461492536E-23</v>
      </c>
      <c r="J26" s="3">
        <f>I26/(I24+I26+I25)*100</f>
        <v>7.4945915876402784</v>
      </c>
    </row>
    <row r="27" spans="1:13">
      <c r="B27" s="6" t="s">
        <v>42</v>
      </c>
      <c r="C27" t="s">
        <v>14</v>
      </c>
      <c r="D27" s="3">
        <v>1.77</v>
      </c>
      <c r="E27" s="3">
        <v>1.54</v>
      </c>
      <c r="F27" s="3">
        <v>1.38</v>
      </c>
      <c r="G27">
        <f t="shared" si="0"/>
        <v>1.5633333333333332</v>
      </c>
      <c r="H27" s="1"/>
      <c r="I27" s="2"/>
    </row>
    <row r="28" spans="1:13">
      <c r="A28">
        <v>3</v>
      </c>
      <c r="B28" s="6"/>
      <c r="C28" t="s">
        <v>12</v>
      </c>
      <c r="D28" s="3">
        <v>97.84</v>
      </c>
      <c r="E28" s="3">
        <v>98.06</v>
      </c>
      <c r="F28" s="3">
        <v>98.26</v>
      </c>
      <c r="G28" s="3">
        <f>AVERAGE(D28:F28)</f>
        <v>98.053333333333342</v>
      </c>
      <c r="H28">
        <f>G28/(G28+G30+G29)*100</f>
        <v>49.903301326637937</v>
      </c>
      <c r="I28" s="2">
        <f t="shared" ref="I28" si="6">H28*$B$12/$B$14</f>
        <v>9.9524850370794019E-22</v>
      </c>
      <c r="J28" s="3">
        <f>I28/(I28+I30+I29)*100</f>
        <v>90.124535405508439</v>
      </c>
    </row>
    <row r="29" spans="1:13">
      <c r="B29" s="6"/>
      <c r="C29" t="s">
        <v>10</v>
      </c>
      <c r="D29" s="3">
        <v>0.39</v>
      </c>
      <c r="E29" s="3">
        <v>0.39</v>
      </c>
      <c r="F29" s="3">
        <v>0.36</v>
      </c>
      <c r="G29">
        <f t="shared" si="0"/>
        <v>0.38000000000000006</v>
      </c>
      <c r="H29">
        <f>G29/(G28+G30+G29)*100</f>
        <v>0.1933973467241204</v>
      </c>
      <c r="I29" s="2">
        <f t="shared" ref="I29" si="7">H29*$B$11/$B$14</f>
        <v>2.535811108823737E-23</v>
      </c>
      <c r="J29" s="3">
        <f>I29/(I28+I30+I29)*100</f>
        <v>2.2962988359933489</v>
      </c>
      <c r="K29">
        <f>(A28-J29)/A28</f>
        <v>0.2345670546688837</v>
      </c>
    </row>
    <row r="30" spans="1:13">
      <c r="B30" s="4" t="s">
        <v>39</v>
      </c>
      <c r="C30" t="s">
        <v>40</v>
      </c>
      <c r="D30">
        <f>D28</f>
        <v>97.84</v>
      </c>
      <c r="E30">
        <f t="shared" ref="E30:F30" si="8">E28</f>
        <v>98.06</v>
      </c>
      <c r="F30">
        <f t="shared" si="8"/>
        <v>98.26</v>
      </c>
      <c r="G30" s="3">
        <f>AVERAGE(D30:F30)</f>
        <v>98.053333333333342</v>
      </c>
      <c r="H30">
        <f>G30/(G28+G30+G29)*100</f>
        <v>49.903301326637937</v>
      </c>
      <c r="I30" s="2">
        <f t="shared" ref="I30" si="9">H30*$B$13/$B$14</f>
        <v>8.3697001560784316E-23</v>
      </c>
      <c r="J30" s="3">
        <f>I30/(I28+I30+I29)*100</f>
        <v>7.5791657584982133</v>
      </c>
    </row>
    <row r="31" spans="1:13">
      <c r="B31" s="6" t="s">
        <v>43</v>
      </c>
      <c r="C31" t="s">
        <v>14</v>
      </c>
      <c r="D31" s="3">
        <v>6.27</v>
      </c>
      <c r="E31" s="3">
        <v>4.1399999999999997</v>
      </c>
      <c r="F31" s="3">
        <v>3.13</v>
      </c>
      <c r="G31">
        <f t="shared" si="0"/>
        <v>4.5133333333333328</v>
      </c>
      <c r="H31" s="1"/>
      <c r="I31" s="2"/>
    </row>
    <row r="32" spans="1:13">
      <c r="A32">
        <v>1</v>
      </c>
      <c r="B32" s="6"/>
      <c r="C32" t="s">
        <v>12</v>
      </c>
      <c r="D32" s="3">
        <v>93.64</v>
      </c>
      <c r="E32" s="3">
        <v>95.72</v>
      </c>
      <c r="F32" s="3">
        <v>96.72</v>
      </c>
      <c r="G32">
        <f t="shared" si="0"/>
        <v>95.360000000000014</v>
      </c>
      <c r="H32">
        <f>G32/(G32+G34+G33)*100</f>
        <v>49.966814545708601</v>
      </c>
      <c r="I32" s="2">
        <f t="shared" ref="I32" si="10">H32*$B$12/$B$14</f>
        <v>9.9651518215536411E-22</v>
      </c>
      <c r="J32" s="3">
        <f>I32/(I32+I34+I33)*100</f>
        <v>91.50558074664778</v>
      </c>
    </row>
    <row r="33" spans="1:15">
      <c r="B33" s="6"/>
      <c r="C33" t="s">
        <v>10</v>
      </c>
      <c r="D33" s="3">
        <v>0.09</v>
      </c>
      <c r="E33" s="3">
        <v>0.14000000000000001</v>
      </c>
      <c r="F33" s="3">
        <v>0.15</v>
      </c>
      <c r="G33">
        <f t="shared" si="0"/>
        <v>0.12666666666666668</v>
      </c>
      <c r="H33">
        <f>G33/(G32+G34+G33)*100</f>
        <v>6.6370908582806434E-2</v>
      </c>
      <c r="I33" s="2">
        <f t="shared" ref="I33" si="11">H33*$B$11/$B$14</f>
        <v>8.7025023940524671E-24</v>
      </c>
      <c r="J33" s="3">
        <f>I33/(I32+I34+I33)*100</f>
        <v>0.79911229630690184</v>
      </c>
      <c r="K33">
        <f>(A32-J33)/A32*100</f>
        <v>20.088770369309817</v>
      </c>
    </row>
    <row r="34" spans="1:15">
      <c r="B34" s="4" t="s">
        <v>39</v>
      </c>
      <c r="C34" t="s">
        <v>40</v>
      </c>
      <c r="D34">
        <f>D32</f>
        <v>93.64</v>
      </c>
      <c r="E34">
        <f t="shared" ref="E34:F34" si="12">E32</f>
        <v>95.72</v>
      </c>
      <c r="F34">
        <f t="shared" si="12"/>
        <v>96.72</v>
      </c>
      <c r="G34" s="3">
        <f>AVERAGE(D34:F34)</f>
        <v>95.360000000000014</v>
      </c>
      <c r="H34">
        <f>G34/(G32+G34+G33)*100</f>
        <v>49.966814545708601</v>
      </c>
      <c r="I34" s="2">
        <f t="shared" ref="I34" si="13">H34*$B$13/$B$14</f>
        <v>8.3803524893998153E-23</v>
      </c>
      <c r="J34" s="3">
        <f>I34/(I32+I34+I33)*100</f>
        <v>7.6953069570453172</v>
      </c>
      <c r="O34" t="s">
        <v>44</v>
      </c>
    </row>
    <row r="35" spans="1:15">
      <c r="B35" s="6" t="s">
        <v>45</v>
      </c>
      <c r="C35" t="s">
        <v>14</v>
      </c>
      <c r="D35" s="3">
        <v>2.2400000000000002</v>
      </c>
      <c r="E35" s="3">
        <v>1.1499999999999999</v>
      </c>
      <c r="F35" s="3">
        <v>5.98</v>
      </c>
      <c r="G35">
        <f t="shared" si="0"/>
        <v>3.1233333333333335</v>
      </c>
      <c r="H35" s="1"/>
      <c r="I35" s="2"/>
    </row>
    <row r="36" spans="1:15">
      <c r="A36">
        <v>1</v>
      </c>
      <c r="B36" s="6"/>
      <c r="C36" t="s">
        <v>12</v>
      </c>
      <c r="D36" s="3">
        <v>97.67</v>
      </c>
      <c r="E36" s="3">
        <v>98.72</v>
      </c>
      <c r="F36" s="3">
        <v>93.94</v>
      </c>
      <c r="G36">
        <f t="shared" si="0"/>
        <v>96.776666666666657</v>
      </c>
      <c r="H36">
        <f>G36/(G36+G38+G37)*100</f>
        <v>49.975040881315088</v>
      </c>
      <c r="I36" s="2">
        <f t="shared" ref="I36" si="14">H36*$B$12/$B$14</f>
        <v>9.9667924441148141E-22</v>
      </c>
      <c r="J36" s="3">
        <f>I36/(I36+I38+I37)*100</f>
        <v>91.687296459763928</v>
      </c>
    </row>
    <row r="37" spans="1:15">
      <c r="B37" s="6"/>
      <c r="C37" t="s">
        <v>10</v>
      </c>
      <c r="D37" s="3">
        <v>0.09</v>
      </c>
      <c r="E37" s="3">
        <v>0.12</v>
      </c>
      <c r="F37" s="3">
        <v>0.08</v>
      </c>
      <c r="G37">
        <f t="shared" si="0"/>
        <v>9.6666666666666665E-2</v>
      </c>
      <c r="H37">
        <f>G37/(G36+G38+G37)*100</f>
        <v>4.9918237369825293E-2</v>
      </c>
      <c r="I37" s="2">
        <f t="shared" ref="I37" si="15">H37*$B$11/$B$14</f>
        <v>6.5452408215234219E-24</v>
      </c>
      <c r="J37" s="3">
        <f>I37/(I36+I38+I37)*100</f>
        <v>0.60211491206272949</v>
      </c>
      <c r="L37" s="3">
        <f>AVERAGE(J33,J37,J41)</f>
        <v>0.71803574715833152</v>
      </c>
      <c r="M37" s="3">
        <f>STDEV(J33,J37,J41)</f>
        <v>0.10301740409819252</v>
      </c>
    </row>
    <row r="38" spans="1:15">
      <c r="B38" s="4" t="s">
        <v>39</v>
      </c>
      <c r="C38" t="s">
        <v>40</v>
      </c>
      <c r="D38">
        <f>D36</f>
        <v>97.67</v>
      </c>
      <c r="E38">
        <f t="shared" ref="E38:F38" si="16">E36</f>
        <v>98.72</v>
      </c>
      <c r="F38">
        <f t="shared" si="16"/>
        <v>93.94</v>
      </c>
      <c r="G38" s="3">
        <f>AVERAGE(D38:F38)</f>
        <v>96.776666666666657</v>
      </c>
      <c r="H38">
        <f>G38/(G36+G38+G37)*100</f>
        <v>49.975040881315088</v>
      </c>
      <c r="I38" s="2">
        <f t="shared" ref="I38" si="17">H38*$B$13/$B$14</f>
        <v>8.3817321969658317E-23</v>
      </c>
      <c r="J38" s="3">
        <f>I38/(I36+I38+I37)*100</f>
        <v>7.7105886281733218</v>
      </c>
    </row>
    <row r="39" spans="1:15">
      <c r="B39" s="6" t="s">
        <v>46</v>
      </c>
      <c r="C39" t="s">
        <v>14</v>
      </c>
      <c r="D39" s="3">
        <v>3.59</v>
      </c>
      <c r="E39" s="3">
        <v>3.6</v>
      </c>
      <c r="F39" s="3">
        <v>4.76</v>
      </c>
      <c r="G39">
        <f t="shared" si="0"/>
        <v>3.9833333333333329</v>
      </c>
      <c r="H39" s="1"/>
      <c r="I39" s="2"/>
    </row>
    <row r="40" spans="1:15">
      <c r="A40">
        <v>1</v>
      </c>
      <c r="B40" s="6"/>
      <c r="C40" t="s">
        <v>12</v>
      </c>
      <c r="D40" s="3">
        <v>96.28</v>
      </c>
      <c r="E40" s="3">
        <v>96.28</v>
      </c>
      <c r="F40" s="3">
        <v>95.24</v>
      </c>
      <c r="G40">
        <f t="shared" si="0"/>
        <v>95.933333333333337</v>
      </c>
      <c r="H40">
        <f>G40/(G40+G42+G41)*100</f>
        <v>49.968747829710395</v>
      </c>
      <c r="I40" s="2">
        <f t="shared" ref="I40" si="18">H40*$B$12/$B$14</f>
        <v>9.965537386828658E-22</v>
      </c>
      <c r="J40" s="3">
        <f>I40/(I40+I42+I41)*100</f>
        <v>91.548226636129371</v>
      </c>
    </row>
    <row r="41" spans="1:15">
      <c r="B41" s="6"/>
      <c r="C41" t="s">
        <v>10</v>
      </c>
      <c r="D41" s="3">
        <v>0.13</v>
      </c>
      <c r="E41" s="3">
        <v>0.13</v>
      </c>
      <c r="F41" s="3">
        <v>0.1</v>
      </c>
      <c r="G41">
        <f t="shared" si="0"/>
        <v>0.12</v>
      </c>
      <c r="H41">
        <f>G41/(G40+G42+G41)*100</f>
        <v>6.2504340579206882E-2</v>
      </c>
      <c r="I41" s="2">
        <f t="shared" ref="I41" si="19">H41*$B$11/$B$14</f>
        <v>8.195520976642601E-24</v>
      </c>
      <c r="J41" s="3">
        <f>I41/(I40+I42+I41)*100</f>
        <v>0.75288003310536289</v>
      </c>
    </row>
    <row r="42" spans="1:15">
      <c r="B42" s="4" t="s">
        <v>39</v>
      </c>
      <c r="C42" t="s">
        <v>40</v>
      </c>
      <c r="D42">
        <f>D40</f>
        <v>96.28</v>
      </c>
      <c r="E42">
        <f t="shared" ref="E42:F42" si="20">E40</f>
        <v>96.28</v>
      </c>
      <c r="F42">
        <f t="shared" si="20"/>
        <v>95.24</v>
      </c>
      <c r="G42" s="3">
        <f>AVERAGE(D42:F42)</f>
        <v>95.933333333333337</v>
      </c>
      <c r="H42">
        <f>G42/(G40+G42+G41)*100</f>
        <v>49.968747829710395</v>
      </c>
      <c r="I42" s="2">
        <f t="shared" ref="I42" si="21">H42*$B$13/$B$14</f>
        <v>8.3806767366335934E-23</v>
      </c>
      <c r="J42" s="3">
        <f>I42/(I40+I42+I41)*100</f>
        <v>7.6988933307652525</v>
      </c>
    </row>
    <row r="43" spans="1:15">
      <c r="B43" s="6" t="s">
        <v>47</v>
      </c>
      <c r="C43" t="s">
        <v>14</v>
      </c>
      <c r="D43" s="3">
        <v>0.72</v>
      </c>
      <c r="E43" s="3">
        <v>2</v>
      </c>
      <c r="F43" s="3">
        <v>1.9</v>
      </c>
      <c r="G43">
        <f t="shared" si="0"/>
        <v>1.5399999999999998</v>
      </c>
      <c r="H43" s="1"/>
      <c r="I43" s="2"/>
    </row>
    <row r="44" spans="1:15">
      <c r="A44">
        <v>0.5</v>
      </c>
      <c r="B44" s="6"/>
      <c r="C44" t="s">
        <v>12</v>
      </c>
      <c r="D44" s="3">
        <v>99.24</v>
      </c>
      <c r="E44" s="3">
        <v>97.96</v>
      </c>
      <c r="F44" s="3">
        <v>98.05</v>
      </c>
      <c r="G44">
        <f t="shared" si="0"/>
        <v>98.416666666666671</v>
      </c>
      <c r="H44">
        <f>G44/(G44+G46+G45)*100</f>
        <v>49.988994802160406</v>
      </c>
      <c r="I44" s="2">
        <f t="shared" ref="I44" si="22">H44*$B$12/$B$14</f>
        <v>9.969575349949293E-22</v>
      </c>
      <c r="J44" s="3">
        <f>I44/(I44+I46+I45)*100</f>
        <v>91.997049724578517</v>
      </c>
    </row>
    <row r="45" spans="1:15">
      <c r="B45" s="6"/>
      <c r="C45" t="s">
        <v>10</v>
      </c>
      <c r="D45" s="3">
        <v>0.04</v>
      </c>
      <c r="E45" s="3">
        <v>0.04</v>
      </c>
      <c r="F45" s="3">
        <v>0.05</v>
      </c>
      <c r="G45">
        <f t="shared" si="0"/>
        <v>4.3333333333333335E-2</v>
      </c>
      <c r="H45">
        <f>G45/(G44+G46+G45)*100</f>
        <v>2.2010395679190019E-2</v>
      </c>
      <c r="I45" s="2">
        <f t="shared" ref="I45" si="23">H45*$B$11/$B$14</f>
        <v>2.885986122266429E-24</v>
      </c>
      <c r="J45" s="3">
        <f>I45/(I44+I46+I45)*100</f>
        <v>0.26631245511970442</v>
      </c>
      <c r="K45">
        <f>(A44-J45)/A44*100</f>
        <v>46.737508976059118</v>
      </c>
    </row>
    <row r="46" spans="1:15">
      <c r="B46" s="4" t="s">
        <v>39</v>
      </c>
      <c r="C46" t="s">
        <v>40</v>
      </c>
      <c r="D46">
        <f>D44</f>
        <v>99.24</v>
      </c>
      <c r="E46">
        <f t="shared" ref="E46:F46" si="24">E44</f>
        <v>97.96</v>
      </c>
      <c r="F46">
        <f t="shared" si="24"/>
        <v>98.05</v>
      </c>
      <c r="G46" s="3">
        <f>AVERAGE(D46:F46)</f>
        <v>98.416666666666671</v>
      </c>
      <c r="H46">
        <f>G46/(G44+G46+G45)*100</f>
        <v>49.988994802160406</v>
      </c>
      <c r="I46" s="2">
        <f t="shared" ref="I46" si="25">H46*$B$13/$B$14</f>
        <v>8.3840725257691806E-23</v>
      </c>
      <c r="J46" s="3">
        <f>I46/(I44+I46+I45)*100</f>
        <v>7.736637820301774</v>
      </c>
    </row>
    <row r="47" spans="1:15">
      <c r="B47" s="6" t="s">
        <v>48</v>
      </c>
      <c r="C47" t="s">
        <v>14</v>
      </c>
      <c r="D47" s="3">
        <v>1.72</v>
      </c>
      <c r="E47" s="3">
        <v>4.5599999999999996</v>
      </c>
      <c r="F47" s="3">
        <v>1.72</v>
      </c>
      <c r="G47">
        <f t="shared" si="0"/>
        <v>2.6666666666666665</v>
      </c>
      <c r="H47" s="1"/>
      <c r="I47" s="2"/>
    </row>
    <row r="48" spans="1:15">
      <c r="A48">
        <v>0.5</v>
      </c>
      <c r="B48" s="6"/>
      <c r="C48" t="s">
        <v>12</v>
      </c>
      <c r="D48" s="3">
        <v>98.24</v>
      </c>
      <c r="E48" s="3">
        <v>95.41</v>
      </c>
      <c r="F48" s="3">
        <v>98.24</v>
      </c>
      <c r="G48">
        <f t="shared" si="0"/>
        <v>97.296666666666667</v>
      </c>
      <c r="H48">
        <f>G48/(G48+G50+G49)*100</f>
        <v>49.9905804175444</v>
      </c>
      <c r="I48" s="2">
        <f t="shared" ref="I48" si="26">H48*$B$12/$B$14</f>
        <v>9.9698915777932279E-22</v>
      </c>
      <c r="J48" s="3">
        <f>I48/(I48+I50+I49)*100</f>
        <v>92.032369172149984</v>
      </c>
    </row>
    <row r="49" spans="1:13">
      <c r="B49" s="6"/>
      <c r="C49" t="s">
        <v>10</v>
      </c>
      <c r="D49" s="3">
        <v>0.04</v>
      </c>
      <c r="E49" s="3">
        <v>0.03</v>
      </c>
      <c r="F49" s="3">
        <v>0.04</v>
      </c>
      <c r="G49">
        <f t="shared" si="0"/>
        <v>3.6666666666666674E-2</v>
      </c>
      <c r="H49">
        <f>G49/(G48+G50+G49)*100</f>
        <v>1.8839164911199031E-2</v>
      </c>
      <c r="I49" s="2">
        <f t="shared" ref="I49" si="27">H49*$B$11/$B$14</f>
        <v>2.4701767874265616E-24</v>
      </c>
      <c r="J49" s="3">
        <f>I49/(I48+I50+I49)*100</f>
        <v>0.22802276258177342</v>
      </c>
      <c r="L49" s="3">
        <f>AVERAGE(J45,J49,J53)</f>
        <v>0.25375058789593041</v>
      </c>
      <c r="M49" s="3">
        <f>STDEV(J45,J49,J53)</f>
        <v>2.2282997509101267E-2</v>
      </c>
    </row>
    <row r="50" spans="1:13">
      <c r="B50" s="4" t="s">
        <v>39</v>
      </c>
      <c r="C50" t="s">
        <v>40</v>
      </c>
      <c r="D50">
        <f>D48</f>
        <v>98.24</v>
      </c>
      <c r="E50">
        <f t="shared" ref="E50:F50" si="28">E48</f>
        <v>95.41</v>
      </c>
      <c r="F50">
        <f t="shared" si="28"/>
        <v>98.24</v>
      </c>
      <c r="G50" s="3">
        <f>AVERAGE(D50:F50)</f>
        <v>97.296666666666667</v>
      </c>
      <c r="H50">
        <f>G50/(G48+G50+G49)*100</f>
        <v>49.9905804175444</v>
      </c>
      <c r="I50" s="2">
        <f t="shared" ref="I50" si="29">H50*$B$13/$B$14</f>
        <v>8.3843384625904753E-23</v>
      </c>
      <c r="J50" s="3">
        <f>I50/(I48+I50+I49)*100</f>
        <v>7.7396080652682349</v>
      </c>
    </row>
    <row r="51" spans="1:13">
      <c r="B51" s="6" t="s">
        <v>49</v>
      </c>
      <c r="C51" t="s">
        <v>14</v>
      </c>
      <c r="D51" s="3">
        <v>1.96</v>
      </c>
      <c r="E51" s="3">
        <v>2.15</v>
      </c>
      <c r="F51" s="3">
        <v>1.46</v>
      </c>
      <c r="G51">
        <f t="shared" si="0"/>
        <v>1.8566666666666665</v>
      </c>
      <c r="H51" s="1"/>
      <c r="I51" s="2"/>
    </row>
    <row r="52" spans="1:13">
      <c r="A52">
        <v>0.5</v>
      </c>
      <c r="B52" s="6"/>
      <c r="C52" t="s">
        <v>12</v>
      </c>
      <c r="D52" s="3">
        <v>98.26</v>
      </c>
      <c r="E52" s="3">
        <v>97.82</v>
      </c>
      <c r="F52" s="3">
        <v>98.5</v>
      </c>
      <c r="G52">
        <f t="shared" si="0"/>
        <v>98.193333333333328</v>
      </c>
      <c r="H52">
        <f>G52/(G52+G54+G53)*100</f>
        <v>49.988969777189503</v>
      </c>
      <c r="I52" s="2">
        <f t="shared" ref="I52" si="30">H52*$B$12/$B$14</f>
        <v>9.9695703590841227E-22</v>
      </c>
      <c r="J52" s="3">
        <f>I52/(I52+I54+I53)*100</f>
        <v>91.996492494831372</v>
      </c>
    </row>
    <row r="53" spans="1:13">
      <c r="B53" s="6"/>
      <c r="C53" t="s">
        <v>10</v>
      </c>
      <c r="D53" s="3">
        <v>0.05</v>
      </c>
      <c r="E53" s="3">
        <v>0.03</v>
      </c>
      <c r="F53" s="3">
        <v>0.05</v>
      </c>
      <c r="G53">
        <f t="shared" si="0"/>
        <v>4.3333333333333335E-2</v>
      </c>
      <c r="H53">
        <f>G53/(G52+G54+G53)*100</f>
        <v>2.2060445621001547E-2</v>
      </c>
      <c r="I53" s="2">
        <f t="shared" ref="I53" si="31">H53*$B$11/$B$14</f>
        <v>2.8925486320728693E-24</v>
      </c>
      <c r="J53" s="3">
        <f>I53/(I52+I54+I53)*100</f>
        <v>0.26691654598631342</v>
      </c>
    </row>
    <row r="54" spans="1:13">
      <c r="B54" s="4" t="s">
        <v>39</v>
      </c>
      <c r="C54" t="s">
        <v>40</v>
      </c>
      <c r="D54">
        <f>D52</f>
        <v>98.26</v>
      </c>
      <c r="E54">
        <f t="shared" ref="E54:F54" si="32">E52</f>
        <v>97.82</v>
      </c>
      <c r="F54">
        <f t="shared" si="32"/>
        <v>98.5</v>
      </c>
      <c r="G54" s="3">
        <f>AVERAGE(D54:F54)</f>
        <v>98.193333333333328</v>
      </c>
      <c r="H54">
        <f>G54/(G52+G54+G53)*100</f>
        <v>49.988969777189503</v>
      </c>
      <c r="I54" s="2">
        <f t="shared" ref="I54" si="33">H54*$B$13/$B$14</f>
        <v>8.3840683286219521E-23</v>
      </c>
      <c r="J54" s="3">
        <f>I54/(I52+I54+I53)*100</f>
        <v>7.7365909591823225</v>
      </c>
    </row>
    <row r="55" spans="1:13">
      <c r="B55" s="6" t="s">
        <v>50</v>
      </c>
      <c r="C55" t="s">
        <v>14</v>
      </c>
      <c r="D55" s="3">
        <v>2.0699999999999998</v>
      </c>
      <c r="E55" s="3">
        <v>2.27</v>
      </c>
      <c r="F55" s="3">
        <v>2.36</v>
      </c>
      <c r="G55">
        <f t="shared" si="0"/>
        <v>2.2333333333333329</v>
      </c>
      <c r="H55" s="1"/>
      <c r="I55" s="2"/>
    </row>
    <row r="56" spans="1:13">
      <c r="A56">
        <v>0</v>
      </c>
      <c r="B56" s="6"/>
      <c r="C56" t="s">
        <v>12</v>
      </c>
      <c r="D56" s="3">
        <v>97.92</v>
      </c>
      <c r="E56" s="3">
        <v>97.71</v>
      </c>
      <c r="F56" s="3">
        <v>97.61</v>
      </c>
      <c r="G56">
        <f t="shared" si="0"/>
        <v>97.74666666666667</v>
      </c>
      <c r="H56">
        <f>G56/(G56+G58+G57)*100</f>
        <v>49.995737643428292</v>
      </c>
      <c r="I56" s="2">
        <f t="shared" ref="I56" si="34">H56*$B$12/$B$14</f>
        <v>9.9709201112184287E-22</v>
      </c>
      <c r="J56" s="3">
        <f>I56/(I56+I58+I57)*100</f>
        <v>92.147418185897976</v>
      </c>
    </row>
    <row r="57" spans="1:13">
      <c r="B57" s="6"/>
      <c r="C57" t="s">
        <v>10</v>
      </c>
      <c r="D57" s="3">
        <v>0.01</v>
      </c>
      <c r="E57" s="3">
        <v>0.02</v>
      </c>
      <c r="F57" s="3">
        <v>0.02</v>
      </c>
      <c r="G57">
        <f t="shared" si="0"/>
        <v>1.6666666666666666E-2</v>
      </c>
      <c r="H57">
        <f>G57/(G56+G58+G57)*100</f>
        <v>8.5247131434027235E-3</v>
      </c>
      <c r="I57" s="2">
        <f t="shared" ref="I57" si="35">H57*$B$11/$B$14</f>
        <v>1.1177538190021238E-24</v>
      </c>
      <c r="J57" s="3">
        <f>I57/(I56+I58+I57)*100</f>
        <v>0.1032985195344094</v>
      </c>
    </row>
    <row r="58" spans="1:13">
      <c r="B58" s="4" t="s">
        <v>39</v>
      </c>
      <c r="C58" t="s">
        <v>40</v>
      </c>
      <c r="D58">
        <f>D56</f>
        <v>97.92</v>
      </c>
      <c r="E58">
        <f t="shared" ref="E58:F58" si="36">E56</f>
        <v>97.71</v>
      </c>
      <c r="F58">
        <f t="shared" si="36"/>
        <v>97.61</v>
      </c>
      <c r="G58" s="3">
        <f>AVERAGE(D58:F58)</f>
        <v>97.74666666666667</v>
      </c>
      <c r="H58">
        <f>G58/(G56+G58+G57)*100</f>
        <v>49.995737643428292</v>
      </c>
      <c r="I58" s="2">
        <f t="shared" ref="I58" si="37">H58*$B$13/$B$14</f>
        <v>8.38520342408877E-23</v>
      </c>
      <c r="J58" s="3">
        <f>I58/(I56+I58+I57)*100</f>
        <v>7.749283294567606</v>
      </c>
    </row>
    <row r="59" spans="1:13">
      <c r="B59" s="6" t="s">
        <v>51</v>
      </c>
      <c r="C59" t="s">
        <v>14</v>
      </c>
      <c r="D59" s="3">
        <v>4.1500000000000004</v>
      </c>
      <c r="E59" s="3">
        <v>2.78</v>
      </c>
      <c r="F59" s="3">
        <v>1.88</v>
      </c>
      <c r="G59">
        <f t="shared" si="0"/>
        <v>2.9366666666666661</v>
      </c>
      <c r="H59" s="1"/>
      <c r="I59" s="2"/>
    </row>
    <row r="60" spans="1:13">
      <c r="A60">
        <v>0</v>
      </c>
      <c r="B60" s="6"/>
      <c r="C60" t="s">
        <v>12</v>
      </c>
      <c r="D60" s="3">
        <v>95.85</v>
      </c>
      <c r="E60" s="3">
        <v>97.21</v>
      </c>
      <c r="F60" s="3">
        <v>98.12</v>
      </c>
      <c r="G60">
        <f t="shared" si="0"/>
        <v>97.06</v>
      </c>
      <c r="H60">
        <f>G60/(G60+G62+G61)*100</f>
        <v>49.998282908066898</v>
      </c>
      <c r="I60" s="2">
        <f t="shared" ref="I60" si="38">H60*$B$12/$B$14</f>
        <v>9.9714277270986951E-22</v>
      </c>
      <c r="J60" s="3">
        <f>I60/(I60+I62+I61)*100</f>
        <v>92.204296057196387</v>
      </c>
    </row>
    <row r="61" spans="1:13">
      <c r="B61" s="6"/>
      <c r="C61" t="s">
        <v>10</v>
      </c>
      <c r="D61" s="3">
        <v>0.01</v>
      </c>
      <c r="E61" s="3">
        <v>0</v>
      </c>
      <c r="F61" s="3">
        <v>0.01</v>
      </c>
      <c r="G61">
        <f t="shared" si="0"/>
        <v>6.6666666666666671E-3</v>
      </c>
      <c r="H61">
        <f>G61/(G60+G62+G61)*100</f>
        <v>3.4341838662041969E-3</v>
      </c>
      <c r="I61" s="2">
        <f t="shared" ref="I61" si="39">H61*$B$11/$B$14</f>
        <v>4.5028754247008197E-25</v>
      </c>
      <c r="J61" s="3">
        <f>I61/(I60+I62+I61)*100</f>
        <v>4.1637413430723545E-2</v>
      </c>
      <c r="L61" s="3">
        <f>AVERAGE(J57,J61,J65)</f>
        <v>6.9593077208707207E-2</v>
      </c>
      <c r="M61">
        <f>STDEV(J57,J61,J65)</f>
        <v>3.1230081115702465E-2</v>
      </c>
    </row>
    <row r="62" spans="1:13">
      <c r="B62" s="4" t="s">
        <v>39</v>
      </c>
      <c r="C62" t="s">
        <v>40</v>
      </c>
      <c r="D62">
        <f>D60</f>
        <v>95.85</v>
      </c>
      <c r="E62">
        <f t="shared" ref="E62:F62" si="40">E60</f>
        <v>97.21</v>
      </c>
      <c r="F62">
        <f t="shared" si="40"/>
        <v>98.12</v>
      </c>
      <c r="G62" s="3">
        <f>AVERAGE(D62:F62)</f>
        <v>97.06</v>
      </c>
      <c r="H62">
        <f>G62/(G60+G62+G61)*100</f>
        <v>49.998282908066898</v>
      </c>
      <c r="I62" s="2">
        <f t="shared" ref="I62" si="41">H62*$B$13/$B$14</f>
        <v>8.3856303117149729E-23</v>
      </c>
      <c r="J62" s="3">
        <f>I62/(I60+I62+I61)*100</f>
        <v>7.7540665293728859</v>
      </c>
    </row>
    <row r="63" spans="1:13">
      <c r="B63" s="6" t="s">
        <v>52</v>
      </c>
      <c r="C63" t="s">
        <v>14</v>
      </c>
      <c r="D63" s="3">
        <v>4.3899999999999997</v>
      </c>
      <c r="E63" s="3">
        <v>5.85</v>
      </c>
      <c r="F63" s="3">
        <v>4.9400000000000004</v>
      </c>
      <c r="G63">
        <f t="shared" si="0"/>
        <v>5.0599999999999996</v>
      </c>
      <c r="H63" s="1"/>
      <c r="I63" s="2"/>
    </row>
    <row r="64" spans="1:13">
      <c r="A64">
        <v>0</v>
      </c>
      <c r="B64" s="6"/>
      <c r="C64" t="s">
        <v>12</v>
      </c>
      <c r="D64" s="3">
        <v>95.59</v>
      </c>
      <c r="E64" s="3">
        <v>94.14</v>
      </c>
      <c r="F64" s="3">
        <v>95.06</v>
      </c>
      <c r="G64">
        <f t="shared" si="0"/>
        <v>94.93</v>
      </c>
      <c r="H64">
        <f>G64/(G64+G66+G65)*100</f>
        <v>49.997366619265819</v>
      </c>
      <c r="I64" s="2">
        <f t="shared" ref="I64" si="42">H64*$B$12/$B$14</f>
        <v>9.9712449866719114E-22</v>
      </c>
      <c r="J64" s="3">
        <f>I64/(I64+I66+I65)*100</f>
        <v>92.183812748316569</v>
      </c>
    </row>
    <row r="65" spans="1:10">
      <c r="B65" s="6"/>
      <c r="C65" t="s">
        <v>10</v>
      </c>
      <c r="D65" s="3">
        <v>0.02</v>
      </c>
      <c r="E65" s="3">
        <v>0.01</v>
      </c>
      <c r="F65" s="3">
        <v>0</v>
      </c>
      <c r="G65">
        <f t="shared" si="0"/>
        <v>0.01</v>
      </c>
      <c r="H65">
        <f>G65/(G64+G66+G65)*100</f>
        <v>5.2667614683730973E-3</v>
      </c>
      <c r="I65" s="2">
        <f t="shared" ref="I65" si="43">H65*$B$11/$B$14</f>
        <v>6.9057370565051432E-25</v>
      </c>
      <c r="J65" s="3">
        <f>I65/(I64+I66+I65)*100</f>
        <v>6.3843298660988673E-2</v>
      </c>
    </row>
    <row r="66" spans="1:10">
      <c r="C66" t="s">
        <v>40</v>
      </c>
      <c r="D66">
        <f>D64</f>
        <v>95.59</v>
      </c>
      <c r="E66">
        <f t="shared" ref="E66:F66" si="44">E64</f>
        <v>94.14</v>
      </c>
      <c r="F66">
        <f t="shared" si="44"/>
        <v>95.06</v>
      </c>
      <c r="G66" s="3">
        <f>AVERAGE(D66:F66)</f>
        <v>94.93</v>
      </c>
      <c r="H66">
        <f>G66/(G64+G66+G65)*100</f>
        <v>49.997366619265819</v>
      </c>
      <c r="I66" s="2">
        <f t="shared" ref="I66" si="45">H66*$B$13/$B$14</f>
        <v>8.3854766332544791E-23</v>
      </c>
      <c r="J66" s="3">
        <f>I66/(I64+I66+I65)*100</f>
        <v>7.7523439530224572</v>
      </c>
    </row>
    <row r="67" spans="1:10">
      <c r="B67" s="7">
        <v>8.6999999999999994E-2</v>
      </c>
      <c r="C67" t="s">
        <v>14</v>
      </c>
      <c r="D67" s="5">
        <v>3.63</v>
      </c>
      <c r="E67" s="5">
        <v>4.2699999999999996</v>
      </c>
      <c r="F67" s="5">
        <v>2.73</v>
      </c>
      <c r="G67">
        <f t="shared" ref="G67:G69" si="46">AVERAGE(D67:F67)</f>
        <v>3.543333333333333</v>
      </c>
      <c r="H67" s="1"/>
      <c r="I67" s="2"/>
    </row>
    <row r="68" spans="1:10">
      <c r="A68">
        <v>0</v>
      </c>
      <c r="B68" s="6"/>
      <c r="C68" t="s">
        <v>12</v>
      </c>
      <c r="D68" s="5">
        <v>94.6</v>
      </c>
      <c r="E68" s="5">
        <v>94.17</v>
      </c>
      <c r="F68" s="5">
        <v>95.45</v>
      </c>
      <c r="G68">
        <f t="shared" si="46"/>
        <v>94.74</v>
      </c>
      <c r="H68">
        <f>G68/(G68+G70+G69)*100</f>
        <v>49.55020920502092</v>
      </c>
      <c r="I68" s="2">
        <f t="shared" ref="I68" si="47">H68*$B$12/$B$14</f>
        <v>9.8820659673248302E-22</v>
      </c>
      <c r="J68" s="3">
        <f>I68/(I68+I70+I69)*100</f>
        <v>83.093974699961876</v>
      </c>
    </row>
    <row r="69" spans="1:10">
      <c r="B69" s="6"/>
      <c r="C69" t="s">
        <v>10</v>
      </c>
      <c r="D69" s="5">
        <v>1.77</v>
      </c>
      <c r="E69" s="5">
        <v>1.57</v>
      </c>
      <c r="F69" s="5">
        <v>1.82</v>
      </c>
      <c r="G69">
        <f t="shared" si="46"/>
        <v>1.72</v>
      </c>
      <c r="H69">
        <f>G69/(G68+G70+G69)*100</f>
        <v>0.89958158995815907</v>
      </c>
      <c r="I69" s="2">
        <f t="shared" ref="I69" si="48">H69*$B$11/$B$14</f>
        <v>1.17952444940379E-22</v>
      </c>
      <c r="J69" s="3">
        <f>I69/(I68+I70+I69)*100</f>
        <v>9.9181056957948677</v>
      </c>
    </row>
    <row r="70" spans="1:10">
      <c r="C70" t="s">
        <v>40</v>
      </c>
      <c r="D70">
        <f>D68</f>
        <v>94.6</v>
      </c>
      <c r="E70">
        <f t="shared" ref="E70:F70" si="49">E68</f>
        <v>94.17</v>
      </c>
      <c r="F70">
        <f t="shared" si="49"/>
        <v>95.45</v>
      </c>
      <c r="G70" s="3">
        <f>AVERAGE(D70:F70)</f>
        <v>94.74</v>
      </c>
      <c r="H70">
        <f>G70/(G68+G70+G69)*100</f>
        <v>49.55020920502092</v>
      </c>
      <c r="I70" s="2">
        <f t="shared" ref="I70" si="50">H70*$B$13/$B$14</f>
        <v>8.3104801223964007E-23</v>
      </c>
      <c r="J70" s="3">
        <f>I70/(I68+I70+I69)*100</f>
        <v>6.9879196042432552</v>
      </c>
    </row>
  </sheetData>
  <mergeCells count="14">
    <mergeCell ref="B35:B37"/>
    <mergeCell ref="B67:B69"/>
    <mergeCell ref="B19:B21"/>
    <mergeCell ref="D17:F17"/>
    <mergeCell ref="B23:B25"/>
    <mergeCell ref="B27:B29"/>
    <mergeCell ref="B31:B33"/>
    <mergeCell ref="B63:B65"/>
    <mergeCell ref="B39:B41"/>
    <mergeCell ref="B43:B45"/>
    <mergeCell ref="B47:B49"/>
    <mergeCell ref="B51:B53"/>
    <mergeCell ref="B55:B57"/>
    <mergeCell ref="B59:B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Li</dc:creator>
  <cp:keywords/>
  <dc:description/>
  <cp:lastModifiedBy>Frank Li</cp:lastModifiedBy>
  <cp:revision/>
  <dcterms:created xsi:type="dcterms:W3CDTF">2025-04-15T18:31:06Z</dcterms:created>
  <dcterms:modified xsi:type="dcterms:W3CDTF">2026-09-10T18:47:36Z</dcterms:modified>
  <cp:category/>
  <cp:contentStatus/>
</cp:coreProperties>
</file>