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cgill-my.sharepoint.com/personal/nathalie_tufenkji_mcgill_ca/Documents/OneDrive Lab/TufenkjiLab Papers/Florent Blancho - Se NP project/Manuscript/Figures and tables supplementary (1)/Table 1/"/>
    </mc:Choice>
  </mc:AlternateContent>
  <xr:revisionPtr revIDLastSave="32" documentId="13_ncr:1_{DC3A11AB-49A9-44F2-97BF-A0051C41EF1E}" xr6:coauthVersionLast="47" xr6:coauthVersionMax="47" xr10:uidLastSave="{C31EEEEB-DEF2-41C2-B407-056B28D5954F}"/>
  <bookViews>
    <workbookView xWindow="380" yWindow="380" windowWidth="19200" windowHeight="11250" xr2:uid="{D4E396BF-71F2-4696-875A-CA6A6015E94C}"/>
  </bookViews>
  <sheets>
    <sheet name="Description" sheetId="2" r:id="rId1"/>
    <sheet name="Se-PS NMR 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" i="1" l="1"/>
  <c r="V13" i="1"/>
  <c r="V10" i="1"/>
  <c r="V7" i="1"/>
  <c r="V4" i="1"/>
  <c r="U16" i="1"/>
  <c r="U13" i="1"/>
  <c r="U10" i="1"/>
  <c r="U7" i="1"/>
  <c r="U4" i="1"/>
  <c r="N6" i="1"/>
  <c r="P6" i="1"/>
  <c r="O3" i="1"/>
  <c r="R12" i="1"/>
  <c r="K98" i="1"/>
  <c r="K97" i="1"/>
  <c r="K96" i="1"/>
  <c r="K95" i="1"/>
  <c r="K94" i="1"/>
  <c r="K93" i="1"/>
  <c r="K92" i="1"/>
  <c r="Q91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I66" i="1"/>
  <c r="I67" i="1" s="1"/>
  <c r="I65" i="1"/>
  <c r="L65" i="1" s="1"/>
  <c r="L64" i="1"/>
  <c r="H64" i="1"/>
  <c r="H65" i="1" s="1"/>
  <c r="R17" i="1"/>
  <c r="N17" i="1"/>
  <c r="P17" i="1" s="1"/>
  <c r="Q17" i="1" s="1"/>
  <c r="I17" i="1"/>
  <c r="K17" i="1" s="1"/>
  <c r="T16" i="1"/>
  <c r="R16" i="1"/>
  <c r="N16" i="1"/>
  <c r="P16" i="1" s="1"/>
  <c r="Q16" i="1" s="1"/>
  <c r="I16" i="1"/>
  <c r="K16" i="1" s="1"/>
  <c r="R15" i="1"/>
  <c r="S16" i="1" s="1"/>
  <c r="N15" i="1"/>
  <c r="P15" i="1" s="1"/>
  <c r="Q15" i="1" s="1"/>
  <c r="I15" i="1"/>
  <c r="K15" i="1" s="1"/>
  <c r="R14" i="1"/>
  <c r="N14" i="1"/>
  <c r="P14" i="1" s="1"/>
  <c r="Q14" i="1" s="1"/>
  <c r="I14" i="1"/>
  <c r="K14" i="1" s="1"/>
  <c r="R13" i="1"/>
  <c r="N13" i="1"/>
  <c r="P13" i="1" s="1"/>
  <c r="Q13" i="1" s="1"/>
  <c r="I13" i="1"/>
  <c r="K13" i="1" s="1"/>
  <c r="N12" i="1"/>
  <c r="P12" i="1" s="1"/>
  <c r="Q12" i="1" s="1"/>
  <c r="I12" i="1"/>
  <c r="K12" i="1" s="1"/>
  <c r="T11" i="1"/>
  <c r="S11" i="1"/>
  <c r="R11" i="1"/>
  <c r="N11" i="1"/>
  <c r="P11" i="1" s="1"/>
  <c r="Q11" i="1" s="1"/>
  <c r="I11" i="1"/>
  <c r="R10" i="1"/>
  <c r="N10" i="1"/>
  <c r="P10" i="1" s="1"/>
  <c r="Q10" i="1" s="1"/>
  <c r="I10" i="1"/>
  <c r="R9" i="1"/>
  <c r="N9" i="1"/>
  <c r="P9" i="1" s="1"/>
  <c r="Q9" i="1" s="1"/>
  <c r="I9" i="1"/>
  <c r="R8" i="1"/>
  <c r="N8" i="1"/>
  <c r="P8" i="1" s="1"/>
  <c r="Q8" i="1" s="1"/>
  <c r="I8" i="1"/>
  <c r="T7" i="1"/>
  <c r="R7" i="1"/>
  <c r="N7" i="1"/>
  <c r="P7" i="1" s="1"/>
  <c r="Q7" i="1" s="1"/>
  <c r="I7" i="1"/>
  <c r="K7" i="1" s="1"/>
  <c r="R6" i="1"/>
  <c r="S7" i="1" s="1"/>
  <c r="Q6" i="1"/>
  <c r="I6" i="1"/>
  <c r="K6" i="1" s="1"/>
  <c r="R5" i="1"/>
  <c r="N5" i="1"/>
  <c r="P5" i="1" s="1"/>
  <c r="Q5" i="1" s="1"/>
  <c r="I5" i="1"/>
  <c r="K5" i="1" s="1"/>
  <c r="T4" i="1"/>
  <c r="R4" i="1"/>
  <c r="N4" i="1"/>
  <c r="P4" i="1" s="1"/>
  <c r="Q4" i="1" s="1"/>
  <c r="I4" i="1"/>
  <c r="K4" i="1" s="1"/>
  <c r="R3" i="1"/>
  <c r="S4" i="1" s="1"/>
  <c r="N3" i="1"/>
  <c r="P3" i="1" s="1"/>
  <c r="Q3" i="1" s="1"/>
  <c r="I3" i="1"/>
  <c r="F15" i="1"/>
  <c r="E20" i="1" s="1"/>
  <c r="F45" i="1" s="1"/>
  <c r="G45" i="1" s="1"/>
  <c r="H45" i="1" s="1"/>
  <c r="E13" i="1"/>
  <c r="F13" i="1" s="1"/>
  <c r="E12" i="1"/>
  <c r="F12" i="1" s="1"/>
  <c r="E11" i="1"/>
  <c r="F11" i="1" s="1"/>
  <c r="E10" i="1"/>
  <c r="F10" i="1" s="1"/>
  <c r="E9" i="1"/>
  <c r="F9" i="1" s="1"/>
  <c r="F8" i="1"/>
  <c r="E8" i="1"/>
  <c r="E7" i="1"/>
  <c r="F7" i="1" s="1"/>
  <c r="E6" i="1"/>
  <c r="F6" i="1" s="1"/>
  <c r="E5" i="1"/>
  <c r="F5" i="1" s="1"/>
  <c r="F4" i="1"/>
  <c r="E4" i="1"/>
  <c r="E3" i="1"/>
  <c r="F3" i="1" s="1"/>
  <c r="K11" i="1" l="1"/>
  <c r="J11" i="1"/>
  <c r="O11" i="1" s="1"/>
  <c r="J10" i="1"/>
  <c r="O10" i="1" s="1"/>
  <c r="K10" i="1"/>
  <c r="J9" i="1"/>
  <c r="O9" i="1" s="1"/>
  <c r="K9" i="1"/>
  <c r="K8" i="1"/>
  <c r="J8" i="1"/>
  <c r="O8" i="1" s="1"/>
  <c r="K3" i="1"/>
  <c r="J3" i="1"/>
  <c r="H66" i="1"/>
  <c r="K65" i="1"/>
  <c r="L67" i="1"/>
  <c r="I68" i="1"/>
  <c r="E19" i="1"/>
  <c r="F44" i="1" s="1"/>
  <c r="G44" i="1" s="1"/>
  <c r="H44" i="1" s="1"/>
  <c r="J12" i="1"/>
  <c r="O12" i="1" s="1"/>
  <c r="J13" i="1"/>
  <c r="O13" i="1" s="1"/>
  <c r="J14" i="1"/>
  <c r="O14" i="1" s="1"/>
  <c r="J15" i="1"/>
  <c r="O15" i="1" s="1"/>
  <c r="J16" i="1"/>
  <c r="O16" i="1" s="1"/>
  <c r="J17" i="1"/>
  <c r="O17" i="1" s="1"/>
  <c r="K64" i="1"/>
  <c r="L66" i="1"/>
  <c r="J4" i="1"/>
  <c r="O4" i="1" s="1"/>
  <c r="J5" i="1"/>
  <c r="O5" i="1" s="1"/>
  <c r="J6" i="1"/>
  <c r="O6" i="1" s="1"/>
  <c r="J7" i="1"/>
  <c r="O7" i="1" s="1"/>
  <c r="I69" i="1" l="1"/>
  <c r="L68" i="1"/>
  <c r="H67" i="1"/>
  <c r="K66" i="1"/>
  <c r="H68" i="1" l="1"/>
  <c r="K67" i="1"/>
  <c r="L69" i="1"/>
  <c r="I70" i="1"/>
  <c r="I71" i="1" l="1"/>
  <c r="L71" i="1" s="1"/>
  <c r="L70" i="1"/>
  <c r="H69" i="1"/>
  <c r="K68" i="1"/>
  <c r="H70" i="1" l="1"/>
  <c r="K69" i="1"/>
  <c r="H71" i="1" l="1"/>
  <c r="K71" i="1" s="1"/>
  <c r="K70" i="1"/>
  <c r="F64" i="1" s="1" a="1"/>
  <c r="F64" i="1" s="1"/>
  <c r="L92" i="1" l="1"/>
  <c r="M92" i="1" s="1"/>
  <c r="N92" i="1" s="1"/>
  <c r="O92" i="1" s="1"/>
  <c r="L89" i="1"/>
  <c r="M89" i="1" s="1"/>
  <c r="N89" i="1" s="1"/>
  <c r="O89" i="1" s="1"/>
  <c r="L81" i="1"/>
  <c r="M81" i="1" s="1"/>
  <c r="N81" i="1" s="1"/>
  <c r="O81" i="1" s="1"/>
  <c r="L87" i="1"/>
  <c r="M87" i="1" s="1"/>
  <c r="N87" i="1" s="1"/>
  <c r="O87" i="1" s="1"/>
  <c r="L79" i="1"/>
  <c r="M79" i="1" s="1"/>
  <c r="N79" i="1" s="1"/>
  <c r="O79" i="1" s="1"/>
  <c r="L94" i="1"/>
  <c r="M94" i="1" s="1"/>
  <c r="N94" i="1" s="1"/>
  <c r="O94" i="1" s="1"/>
  <c r="L91" i="1"/>
  <c r="M91" i="1" s="1"/>
  <c r="N91" i="1" s="1"/>
  <c r="O91" i="1" s="1"/>
  <c r="L83" i="1"/>
  <c r="M83" i="1" s="1"/>
  <c r="N83" i="1" s="1"/>
  <c r="O83" i="1" s="1"/>
  <c r="L75" i="1"/>
  <c r="M75" i="1" s="1"/>
  <c r="N75" i="1" s="1"/>
  <c r="O75" i="1" s="1"/>
  <c r="L77" i="1"/>
  <c r="M77" i="1" s="1"/>
  <c r="N77" i="1" s="1"/>
  <c r="O77" i="1" s="1"/>
  <c r="L80" i="1"/>
  <c r="M80" i="1" s="1"/>
  <c r="N80" i="1" s="1"/>
  <c r="O80" i="1" s="1"/>
  <c r="L97" i="1"/>
  <c r="M97" i="1" s="1"/>
  <c r="N97" i="1" s="1"/>
  <c r="O97" i="1" s="1"/>
  <c r="L85" i="1"/>
  <c r="M85" i="1" s="1"/>
  <c r="N85" i="1" s="1"/>
  <c r="O85" i="1" s="1"/>
  <c r="L88" i="1"/>
  <c r="M88" i="1" s="1"/>
  <c r="N88" i="1" s="1"/>
  <c r="O88" i="1" s="1"/>
  <c r="L98" i="1"/>
  <c r="M98" i="1" s="1"/>
  <c r="N98" i="1" s="1"/>
  <c r="O98" i="1" s="1"/>
  <c r="L76" i="1"/>
  <c r="M76" i="1" s="1"/>
  <c r="N76" i="1" s="1"/>
  <c r="O76" i="1" s="1"/>
  <c r="L95" i="1"/>
  <c r="M95" i="1" s="1"/>
  <c r="N95" i="1" s="1"/>
  <c r="O95" i="1" s="1"/>
  <c r="L78" i="1"/>
  <c r="M78" i="1" s="1"/>
  <c r="N78" i="1" s="1"/>
  <c r="O78" i="1" s="1"/>
  <c r="L96" i="1"/>
  <c r="M96" i="1" s="1"/>
  <c r="N96" i="1" s="1"/>
  <c r="O96" i="1" s="1"/>
  <c r="L86" i="1"/>
  <c r="M86" i="1" s="1"/>
  <c r="N86" i="1" s="1"/>
  <c r="O86" i="1" s="1"/>
  <c r="L82" i="1"/>
  <c r="M82" i="1" s="1"/>
  <c r="N82" i="1" s="1"/>
  <c r="O82" i="1" s="1"/>
  <c r="L84" i="1"/>
  <c r="M84" i="1" s="1"/>
  <c r="N84" i="1" s="1"/>
  <c r="O84" i="1" s="1"/>
  <c r="L90" i="1"/>
  <c r="M90" i="1" s="1"/>
  <c r="N90" i="1" s="1"/>
  <c r="O90" i="1" s="1"/>
  <c r="L93" i="1"/>
  <c r="M93" i="1" s="1"/>
  <c r="N93" i="1" s="1"/>
  <c r="O9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<sst xmlns="http://schemas.openxmlformats.org/spreadsheetml/2006/main" count="101" uniqueCount="88">
  <si>
    <t>Description</t>
  </si>
  <si>
    <t>1- Conversion of styrene and Se-M during polymerization calculated by taking the integral of the peak at 5.91 ppm on the spectra at 0 and 20h  (1-t20/t0), green is calculations used in the manuscript</t>
  </si>
  <si>
    <t>Summary</t>
  </si>
  <si>
    <t>with respect to 4.1</t>
  </si>
  <si>
    <t>Conversion of styrene and Se-M during polymerization calculated by taking the integral of the peak at 5.91 ppm on the spectra at 0 and 20h  (1-t20/t0), green is calculations used in the manuscript</t>
  </si>
  <si>
    <t>Prop. Se (mass %)</t>
  </si>
  <si>
    <t>Prop. Se-monomer (mass %)</t>
  </si>
  <si>
    <t>Prop. Se-monomer (mol %)</t>
  </si>
  <si>
    <t>Se-M or model</t>
  </si>
  <si>
    <t>% theoretical Se-PS (w/w)</t>
  </si>
  <si>
    <t>%Se-mon</t>
  </si>
  <si>
    <t>% mol</t>
  </si>
  <si>
    <t>mol ratio</t>
  </si>
  <si>
    <t>5.91 peak integral t=0</t>
  </si>
  <si>
    <t>t=20</t>
  </si>
  <si>
    <t>actual % (mol)</t>
  </si>
  <si>
    <t xml:space="preserve">error difference </t>
  </si>
  <si>
    <t>Real Se-mono% (w/w)</t>
  </si>
  <si>
    <t>Real %Se (w/w)</t>
  </si>
  <si>
    <t>Conversion</t>
  </si>
  <si>
    <t>4.1 ppm peak height t=20</t>
  </si>
  <si>
    <t>2 ppm peak height t=20</t>
  </si>
  <si>
    <t>Average Real %Se</t>
  </si>
  <si>
    <t>B</t>
  </si>
  <si>
    <t xml:space="preserve">Conversion </t>
  </si>
  <si>
    <t>stdev</t>
  </si>
  <si>
    <t>C</t>
  </si>
  <si>
    <t>E</t>
  </si>
  <si>
    <t>D</t>
  </si>
  <si>
    <t>F</t>
  </si>
  <si>
    <t>G</t>
  </si>
  <si>
    <t>H</t>
  </si>
  <si>
    <t>Mw (g/mol)</t>
  </si>
  <si>
    <t>p (g/mL)</t>
  </si>
  <si>
    <t>I</t>
  </si>
  <si>
    <t>styrene</t>
  </si>
  <si>
    <t>se-mono</t>
  </si>
  <si>
    <t>Se</t>
  </si>
  <si>
    <t>styrene mL</t>
  </si>
  <si>
    <t>gstyrene mass</t>
  </si>
  <si>
    <t>Comment</t>
  </si>
  <si>
    <t>Set 0.2 ppm as normal integral value on an empty space</t>
  </si>
  <si>
    <t>0D not available</t>
  </si>
  <si>
    <t>*</t>
  </si>
  <si>
    <t>Se-mono (g)</t>
  </si>
  <si>
    <t>total</t>
  </si>
  <si>
    <t>%Se-mono</t>
  </si>
  <si>
    <t>%Se</t>
  </si>
  <si>
    <t>Slope</t>
  </si>
  <si>
    <t>Intercept</t>
  </si>
  <si>
    <t>ratio</t>
  </si>
  <si>
    <t>mol%</t>
  </si>
  <si>
    <t>ln (ratio)</t>
  </si>
  <si>
    <t>ln(mol%)</t>
  </si>
  <si>
    <t>Value</t>
  </si>
  <si>
    <t>True ratio</t>
  </si>
  <si>
    <t>ln(ratio)</t>
  </si>
  <si>
    <t>ln (mol%)</t>
  </si>
  <si>
    <t>Se-M w%</t>
  </si>
  <si>
    <t>Se-polymer W%</t>
  </si>
  <si>
    <t>0.5A</t>
  </si>
  <si>
    <t>0.5B</t>
  </si>
  <si>
    <t>0.5C</t>
  </si>
  <si>
    <t>1A</t>
  </si>
  <si>
    <t>1B</t>
  </si>
  <si>
    <t>1C</t>
  </si>
  <si>
    <t>3A</t>
  </si>
  <si>
    <t>3B</t>
  </si>
  <si>
    <t>3C</t>
  </si>
  <si>
    <t>0B</t>
  </si>
  <si>
    <t>0C</t>
  </si>
  <si>
    <t>0D</t>
  </si>
  <si>
    <t>0.5D</t>
  </si>
  <si>
    <t>0.5E</t>
  </si>
  <si>
    <t>0.5F</t>
  </si>
  <si>
    <t>C1</t>
  </si>
  <si>
    <t>V1</t>
  </si>
  <si>
    <t>V2</t>
  </si>
  <si>
    <t>C2</t>
  </si>
  <si>
    <t>1G</t>
  </si>
  <si>
    <t>1H</t>
  </si>
  <si>
    <t>1I</t>
  </si>
  <si>
    <t>3D</t>
  </si>
  <si>
    <t>3E</t>
  </si>
  <si>
    <t>3F</t>
  </si>
  <si>
    <t>8.7A</t>
  </si>
  <si>
    <t>Stdev Real%Se</t>
  </si>
  <si>
    <t>2- Actual Se-to-polymer ratio calculated in Se-PS NMR sheet under "real %Se" column, average in "Average real %Se"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</si>
</sst>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00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3" xfId="0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164" fontId="0" fillId="0" borderId="0" xfId="1" applyNumberFormat="1" applyFont="1"/>
    <xf numFmtId="165" fontId="0" fillId="0" borderId="0" xfId="1" applyNumberFormat="1" applyFont="1"/>
    <xf numFmtId="9" fontId="0" fillId="0" borderId="0" xfId="1" applyFont="1"/>
    <xf numFmtId="0" fontId="0" fillId="0" borderId="0" xfId="0" applyAlignment="1">
      <alignment horizontal="right"/>
    </xf>
    <xf numFmtId="0" fontId="3" fillId="0" borderId="3" xfId="0" applyFont="1" applyBorder="1" applyAlignment="1">
      <alignment horizontal="center" vertical="center"/>
    </xf>
    <xf numFmtId="164" fontId="0" fillId="0" borderId="0" xfId="0" applyNumberFormat="1"/>
    <xf numFmtId="0" fontId="3" fillId="2" borderId="3" xfId="0" applyFont="1" applyFill="1" applyBorder="1" applyAlignment="1">
      <alignment horizontal="center" vertical="center"/>
    </xf>
    <xf numFmtId="10" fontId="0" fillId="0" borderId="0" xfId="1" applyNumberFormat="1" applyFont="1"/>
    <xf numFmtId="9" fontId="0" fillId="0" borderId="0" xfId="0" applyNumberFormat="1"/>
    <xf numFmtId="166" fontId="0" fillId="0" borderId="0" xfId="0" applyNumberFormat="1"/>
    <xf numFmtId="9" fontId="0" fillId="0" borderId="0" xfId="1" applyFont="1" applyFill="1"/>
    <xf numFmtId="164" fontId="0" fillId="0" borderId="0" xfId="1" applyNumberFormat="1" applyFont="1" applyFill="1"/>
    <xf numFmtId="165" fontId="0" fillId="0" borderId="0" xfId="1" applyNumberFormat="1" applyFont="1" applyFill="1"/>
    <xf numFmtId="10" fontId="0" fillId="0" borderId="0" xfId="1" applyNumberFormat="1" applyFont="1" applyFill="1"/>
    <xf numFmtId="9" fontId="0" fillId="3" borderId="0" xfId="1" applyFont="1" applyFill="1"/>
    <xf numFmtId="0" fontId="0" fillId="3" borderId="0" xfId="0" applyFill="1"/>
    <xf numFmtId="9" fontId="0" fillId="3" borderId="0" xfId="0" applyNumberFormat="1" applyFill="1"/>
    <xf numFmtId="0" fontId="0" fillId="0" borderId="0" xfId="0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Selenium mass ratio vs Se-monomer ethylene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'Se-PS NMR '!#REF!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'Se-PS NMR '!$U$3:$U$7</c:f>
              <c:numCache>
                <c:formatCode>0.0%</c:formatCode>
                <c:ptCount val="5"/>
                <c:pt idx="1">
                  <c:v>1.0423422173067689E-3</c:v>
                </c:pt>
                <c:pt idx="4">
                  <c:v>3.4835251167777844E-3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80-49A8-BED4-112352F4C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320672"/>
        <c:axId val="1680320192"/>
      </c:scatterChart>
      <c:valAx>
        <c:axId val="168032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320192"/>
        <c:crosses val="autoZero"/>
        <c:crossBetween val="midCat"/>
      </c:valAx>
      <c:valAx>
        <c:axId val="168032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320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0155511811023622E-2"/>
                  <c:y val="-0.606161417322834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'Se-PS NMR '!$K$64:$K$71</c:f>
              <c:numCache>
                <c:formatCode>General</c:formatCode>
                <c:ptCount val="8"/>
                <c:pt idx="0">
                  <c:v>0.40546510810816438</c:v>
                </c:pt>
                <c:pt idx="1">
                  <c:v>1.0986122886681098</c:v>
                </c:pt>
                <c:pt idx="2">
                  <c:v>1.791759469228055</c:v>
                </c:pt>
                <c:pt idx="3">
                  <c:v>2.4849066497880004</c:v>
                </c:pt>
                <c:pt idx="4">
                  <c:v>3.1780538303479458</c:v>
                </c:pt>
                <c:pt idx="5">
                  <c:v>3.8712010109078911</c:v>
                </c:pt>
                <c:pt idx="6">
                  <c:v>4.5643481914678361</c:v>
                </c:pt>
                <c:pt idx="7">
                  <c:v>5.2574953720277815</c:v>
                </c:pt>
              </c:numCache>
            </c:numRef>
          </c:xVal>
          <c:yVal>
            <c:numRef>
              <c:f>'Se-PS NMR '!$L$64:$L$71</c:f>
              <c:numCache>
                <c:formatCode>General</c:formatCode>
                <c:ptCount val="8"/>
                <c:pt idx="0">
                  <c:v>4.6051701859880918</c:v>
                </c:pt>
                <c:pt idx="1">
                  <c:v>3.912023005428146</c:v>
                </c:pt>
                <c:pt idx="2">
                  <c:v>3.2188758248682006</c:v>
                </c:pt>
                <c:pt idx="3">
                  <c:v>2.5257286443082556</c:v>
                </c:pt>
                <c:pt idx="4">
                  <c:v>1.8325814637483102</c:v>
                </c:pt>
                <c:pt idx="5">
                  <c:v>1.1394342831883648</c:v>
                </c:pt>
                <c:pt idx="6">
                  <c:v>0.44628710262841953</c:v>
                </c:pt>
                <c:pt idx="7">
                  <c:v>-0.24686007793152578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FF-4B8B-A2B6-ED1006F49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273136"/>
        <c:axId val="696260656"/>
      </c:scatterChart>
      <c:valAx>
        <c:axId val="69627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ln (ratio)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260656"/>
        <c:crosses val="autoZero"/>
        <c:crossBetween val="midCat"/>
      </c:valAx>
      <c:valAx>
        <c:axId val="69626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ln (mol%)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273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415925</xdr:colOff>
      <xdr:row>46</xdr:row>
      <xdr:rowOff>57150</xdr:rowOff>
    </xdr:from>
    <xdr:to>
      <xdr:col>15</xdr:col>
      <xdr:colOff>593725</xdr:colOff>
      <xdr:row>61</xdr:row>
      <xdr:rowOff>41275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B2C30A-D1EB-4668-BE21-92363D02F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44450</xdr:colOff>
      <xdr:row>57</xdr:row>
      <xdr:rowOff>3175</xdr:rowOff>
    </xdr:from>
    <xdr:to>
      <xdr:col>19</xdr:col>
      <xdr:colOff>349250</xdr:colOff>
      <xdr:row>71</xdr:row>
      <xdr:rowOff>79375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66F3CB-B2BE-4A39-A866-488BEE0EDCCF}"/>
            </a:ext>
            <a:ext uri="{147F2762-F138-4A5C-976F-8EAC2B608ADB}">
              <a16:predDERef xmlns:a16="http://schemas.microsoft.com/office/drawing/2014/main" pred="{3FB2C30A-D1EB-4668-BE21-92363D02F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6BD7-4787-45E6-BD37-B7F8042DD673}">
  <dimension ref="A1:A4"/>
  <sheetViews>
    <sheetView tabSelected="1" workbookViewId="0">
      <selection activeCell="A5" sqref="A5"/>
    </sheetView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B495B-CFFE-48EE-A43F-82AB0310B58A}">
  <dimension ref="A1:V98"/>
  <sheetViews>
    <sheetView topLeftCell="J1" workbookViewId="0">
      <selection activeCell="W7" sqref="W7"/>
    </sheetView>
  </sheetViews>
  <sheetFormatPr defaultRowHeight="14.5" x14ac:dyDescent="0.35"/>
  <cols>
    <col min="4" max="4" width="11.81640625" bestFit="1" customWidth="1"/>
    <col min="5" max="5" width="21.54296875" customWidth="1"/>
    <col min="8" max="8" width="12.453125" bestFit="1" customWidth="1"/>
    <col min="10" max="13" width="12" bestFit="1" customWidth="1"/>
    <col min="14" max="14" width="12.54296875" bestFit="1" customWidth="1"/>
    <col min="15" max="15" width="15.453125" bestFit="1" customWidth="1"/>
    <col min="16" max="16" width="21.1796875" bestFit="1" customWidth="1"/>
    <col min="17" max="17" width="12" bestFit="1" customWidth="1"/>
    <col min="19" max="19" width="11.453125" bestFit="1" customWidth="1"/>
    <col min="20" max="20" width="12" bestFit="1" customWidth="1"/>
  </cols>
  <sheetData>
    <row r="1" spans="1:22" ht="15" thickBot="1" x14ac:dyDescent="0.4">
      <c r="A1" t="s">
        <v>2</v>
      </c>
      <c r="K1" t="s">
        <v>3</v>
      </c>
    </row>
    <row r="2" spans="1:22" ht="44" thickBot="1" x14ac:dyDescent="0.4">
      <c r="A2" s="23" t="s">
        <v>4</v>
      </c>
      <c r="B2" s="23"/>
      <c r="D2" s="1" t="s">
        <v>5</v>
      </c>
      <c r="E2" s="2" t="s">
        <v>6</v>
      </c>
      <c r="F2" s="2" t="s">
        <v>7</v>
      </c>
      <c r="G2" s="3" t="s">
        <v>8</v>
      </c>
      <c r="H2" s="3" t="s">
        <v>9</v>
      </c>
      <c r="I2" t="s">
        <v>10</v>
      </c>
      <c r="J2" t="s">
        <v>11</v>
      </c>
      <c r="K2" t="s">
        <v>12</v>
      </c>
      <c r="L2" s="3" t="s">
        <v>13</v>
      </c>
      <c r="M2" t="s">
        <v>14</v>
      </c>
      <c r="N2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86</v>
      </c>
    </row>
    <row r="3" spans="1:22" ht="15" thickBot="1" x14ac:dyDescent="0.4">
      <c r="A3" s="23"/>
      <c r="B3" s="23"/>
      <c r="D3" s="4">
        <v>0</v>
      </c>
      <c r="E3" s="5">
        <f t="shared" ref="E3:E13" si="0">D3*($E$16/$E$17)</f>
        <v>0</v>
      </c>
      <c r="F3" s="6">
        <f t="shared" ref="F3:F13" si="1">(E3/$E$16)/(E3/$E$16+(100-E3)/$E$15)</f>
        <v>0</v>
      </c>
      <c r="G3" s="9" t="s">
        <v>23</v>
      </c>
      <c r="H3">
        <v>0</v>
      </c>
      <c r="I3" s="8">
        <f t="shared" ref="I3:I17" si="2">H3*$E$16/$E$17/100</f>
        <v>0</v>
      </c>
      <c r="J3" s="6">
        <f t="shared" ref="J3:J17" si="3">(I3/$E$16)/(I3/$E$16+(1-I3)/$E$15)</f>
        <v>0</v>
      </c>
      <c r="K3" s="7">
        <f t="shared" ref="K3:K17" si="4">(I3/$E$16)/((1-I3)/$E$15)</f>
        <v>0</v>
      </c>
      <c r="L3">
        <v>788</v>
      </c>
      <c r="M3">
        <v>132</v>
      </c>
      <c r="N3" s="11">
        <f t="shared" ref="N3:N17" si="5">1/(2*L3)</f>
        <v>6.3451776649746188E-4</v>
      </c>
      <c r="O3" t="e">
        <f>ABS(J3-N3)/J3</f>
        <v>#DIV/0!</v>
      </c>
      <c r="P3" s="11">
        <f t="shared" ref="P3:P17" si="6">(N3*$E$16)/(N3*$E$16+(1-N3)*$E$15)</f>
        <v>1.6629593336331334E-3</v>
      </c>
      <c r="Q3" s="6">
        <f t="shared" ref="Q3:Q17" si="7">P3*$E$17/$E$16</f>
        <v>4.8055653997830554E-4</v>
      </c>
      <c r="R3" s="8">
        <f>1-M3/L3</f>
        <v>0.8324873096446701</v>
      </c>
      <c r="S3" t="s">
        <v>24</v>
      </c>
      <c r="T3" t="s">
        <v>25</v>
      </c>
    </row>
    <row r="4" spans="1:22" ht="15" thickBot="1" x14ac:dyDescent="0.4">
      <c r="A4" s="23"/>
      <c r="B4" s="23"/>
      <c r="D4" s="4">
        <v>1</v>
      </c>
      <c r="E4" s="5">
        <f t="shared" si="0"/>
        <v>3.4604863221884501</v>
      </c>
      <c r="F4" s="6">
        <f t="shared" si="1"/>
        <v>1.3478868008039439E-2</v>
      </c>
      <c r="G4" s="9" t="s">
        <v>26</v>
      </c>
      <c r="H4">
        <v>0</v>
      </c>
      <c r="I4" s="16">
        <f t="shared" si="2"/>
        <v>0</v>
      </c>
      <c r="J4" s="17">
        <f t="shared" si="3"/>
        <v>0</v>
      </c>
      <c r="K4" s="18">
        <f t="shared" si="4"/>
        <v>0</v>
      </c>
      <c r="L4">
        <v>262</v>
      </c>
      <c r="M4">
        <v>68</v>
      </c>
      <c r="N4" s="11">
        <f t="shared" si="5"/>
        <v>1.9083969465648854E-3</v>
      </c>
      <c r="O4" s="11" t="e">
        <f t="shared" ref="O4:O17" si="8">ABS(J4-N4)/J4</f>
        <v>#DIV/0!</v>
      </c>
      <c r="P4" s="11">
        <f t="shared" si="6"/>
        <v>4.9912601799403725E-3</v>
      </c>
      <c r="Q4" s="17">
        <f t="shared" si="7"/>
        <v>1.4423580142295849E-3</v>
      </c>
      <c r="R4" s="16">
        <f t="shared" ref="R4:R17" si="9">1-M4/L4</f>
        <v>0.74045801526717558</v>
      </c>
      <c r="S4" s="14">
        <f>AVERAGE(R3:R5)</f>
        <v>0.78546160511923524</v>
      </c>
      <c r="T4" s="8">
        <f>_xlfn.STDEV.S(R3:R5)</f>
        <v>4.6047958333883768E-2</v>
      </c>
      <c r="U4" s="11">
        <f>AVERAGE(Q3:Q5)</f>
        <v>1.0423422173067689E-3</v>
      </c>
      <c r="V4" s="6">
        <f>_xlfn.STDEV.S(Q3:Q5)</f>
        <v>5.0089184423668409E-4</v>
      </c>
    </row>
    <row r="5" spans="1:22" ht="15" thickBot="1" x14ac:dyDescent="0.4">
      <c r="A5" s="23"/>
      <c r="B5" s="23"/>
      <c r="D5" s="4">
        <v>1.25</v>
      </c>
      <c r="E5" s="5">
        <f t="shared" si="0"/>
        <v>4.3256079027355625</v>
      </c>
      <c r="F5" s="6">
        <f t="shared" si="1"/>
        <v>1.694126756141718E-2</v>
      </c>
      <c r="G5" s="9" t="s">
        <v>27</v>
      </c>
      <c r="H5">
        <v>0</v>
      </c>
      <c r="I5" s="16">
        <f t="shared" si="2"/>
        <v>0</v>
      </c>
      <c r="J5" s="17">
        <f t="shared" si="3"/>
        <v>0</v>
      </c>
      <c r="K5" s="18">
        <f t="shared" si="4"/>
        <v>0</v>
      </c>
      <c r="L5">
        <v>314</v>
      </c>
      <c r="M5">
        <v>68</v>
      </c>
      <c r="N5" s="11">
        <f t="shared" si="5"/>
        <v>1.5923566878980893E-3</v>
      </c>
      <c r="O5" s="11" t="e">
        <f t="shared" si="8"/>
        <v>#DIV/0!</v>
      </c>
      <c r="P5" s="11">
        <f t="shared" si="6"/>
        <v>4.1668134445154575E-3</v>
      </c>
      <c r="Q5" s="17">
        <f t="shared" si="7"/>
        <v>1.2041120977124159E-3</v>
      </c>
      <c r="R5" s="16">
        <f t="shared" si="9"/>
        <v>0.78343949044585992</v>
      </c>
      <c r="V5" s="6"/>
    </row>
    <row r="6" spans="1:22" ht="15" thickBot="1" x14ac:dyDescent="0.4">
      <c r="A6" s="23"/>
      <c r="B6" s="23"/>
      <c r="D6" s="4">
        <v>1.5</v>
      </c>
      <c r="E6" s="5">
        <f t="shared" si="0"/>
        <v>5.1907294832826754</v>
      </c>
      <c r="F6" s="6">
        <f t="shared" si="1"/>
        <v>2.044197051567153E-2</v>
      </c>
      <c r="G6" s="9" t="s">
        <v>28</v>
      </c>
      <c r="H6">
        <v>0.5</v>
      </c>
      <c r="I6" s="16">
        <f t="shared" si="2"/>
        <v>1.7302431610942252E-2</v>
      </c>
      <c r="J6" s="17">
        <f t="shared" si="3"/>
        <v>6.6664917099311209E-3</v>
      </c>
      <c r="K6" s="18">
        <f t="shared" si="4"/>
        <v>6.7112320829757028E-3</v>
      </c>
      <c r="L6">
        <v>130.46</v>
      </c>
      <c r="M6">
        <v>12.58</v>
      </c>
      <c r="N6" s="11">
        <f>1/(2*L6)</f>
        <v>3.8325923654760076E-3</v>
      </c>
      <c r="O6" s="11">
        <f>ABS(J6-N6)/J6</f>
        <v>0.4250960576810488</v>
      </c>
      <c r="P6" s="11">
        <f>(N6*$E$16)/(N6*$E$16+(1-N6)*$E$15)</f>
        <v>9.9927194020693749E-3</v>
      </c>
      <c r="Q6" s="19">
        <f t="shared" si="7"/>
        <v>2.8876633142563232E-3</v>
      </c>
      <c r="R6" s="20">
        <f t="shared" si="9"/>
        <v>0.9035719760846237</v>
      </c>
      <c r="S6" s="21"/>
      <c r="T6" s="21"/>
      <c r="V6" s="6"/>
    </row>
    <row r="7" spans="1:22" ht="15" thickBot="1" x14ac:dyDescent="0.4">
      <c r="A7" s="23"/>
      <c r="B7" s="23"/>
      <c r="D7" s="4">
        <v>2</v>
      </c>
      <c r="E7" s="5">
        <f t="shared" si="0"/>
        <v>6.9209726443769002</v>
      </c>
      <c r="F7" s="6">
        <f t="shared" si="1"/>
        <v>2.7560857495944602E-2</v>
      </c>
      <c r="G7" s="9" t="s">
        <v>27</v>
      </c>
      <c r="H7">
        <v>0.5</v>
      </c>
      <c r="I7" s="16">
        <f t="shared" si="2"/>
        <v>1.7302431610942252E-2</v>
      </c>
      <c r="J7" s="17">
        <f t="shared" si="3"/>
        <v>6.6664917099311209E-3</v>
      </c>
      <c r="K7" s="18">
        <f t="shared" si="4"/>
        <v>6.7112320829757028E-3</v>
      </c>
      <c r="L7">
        <v>104.5</v>
      </c>
      <c r="M7">
        <v>24.23</v>
      </c>
      <c r="N7" s="11">
        <f t="shared" si="5"/>
        <v>4.7846889952153108E-3</v>
      </c>
      <c r="O7" s="11">
        <f t="shared" si="8"/>
        <v>0.28227781516813033</v>
      </c>
      <c r="P7" s="11">
        <f t="shared" si="6"/>
        <v>1.2455986477295311E-2</v>
      </c>
      <c r="Q7" s="17">
        <f t="shared" si="7"/>
        <v>3.5994901633993473E-3</v>
      </c>
      <c r="R7" s="20">
        <f t="shared" si="9"/>
        <v>0.768133971291866</v>
      </c>
      <c r="S7" s="22">
        <f>AVERAGE(R6:R8)</f>
        <v>0.81218276561465252</v>
      </c>
      <c r="T7" s="20">
        <f>_xlfn.STDEV.S(R6:R8)</f>
        <v>7.916248818918098E-2</v>
      </c>
      <c r="U7" s="11">
        <f>AVERAGE(Q6:Q8)</f>
        <v>3.4835251167777844E-3</v>
      </c>
      <c r="V7" s="6">
        <f>_xlfn.STDEV.S(Q6:Q8)</f>
        <v>5.47174595565854E-4</v>
      </c>
    </row>
    <row r="8" spans="1:22" ht="15" thickBot="1" x14ac:dyDescent="0.4">
      <c r="A8" s="23"/>
      <c r="B8" s="23"/>
      <c r="D8" s="10">
        <v>2.5</v>
      </c>
      <c r="E8" s="5">
        <f t="shared" si="0"/>
        <v>8.651215805471125</v>
      </c>
      <c r="F8" s="6">
        <f t="shared" si="1"/>
        <v>3.4840816108065074E-2</v>
      </c>
      <c r="G8" s="9" t="s">
        <v>29</v>
      </c>
      <c r="H8">
        <v>0.5</v>
      </c>
      <c r="I8" s="16">
        <f t="shared" si="2"/>
        <v>1.7302431610942252E-2</v>
      </c>
      <c r="J8" s="17">
        <f t="shared" si="3"/>
        <v>6.6664917099311209E-3</v>
      </c>
      <c r="K8" s="18">
        <f t="shared" si="4"/>
        <v>6.7112320829757028E-3</v>
      </c>
      <c r="L8">
        <v>94.83</v>
      </c>
      <c r="M8">
        <v>22.3</v>
      </c>
      <c r="N8" s="11">
        <f t="shared" si="5"/>
        <v>5.2725930612675317E-3</v>
      </c>
      <c r="O8" s="11">
        <f t="shared" si="8"/>
        <v>0.20909028456258158</v>
      </c>
      <c r="P8" s="11">
        <f t="shared" si="6"/>
        <v>1.3715367179463653E-2</v>
      </c>
      <c r="Q8" s="17">
        <f t="shared" si="7"/>
        <v>3.9634218726776818E-3</v>
      </c>
      <c r="R8" s="20">
        <f t="shared" si="9"/>
        <v>0.7648423494674681</v>
      </c>
      <c r="S8" s="21"/>
      <c r="T8" s="21"/>
      <c r="V8" s="6"/>
    </row>
    <row r="9" spans="1:22" ht="15" thickBot="1" x14ac:dyDescent="0.4">
      <c r="A9" s="23"/>
      <c r="B9" s="23"/>
      <c r="D9" s="10">
        <v>3</v>
      </c>
      <c r="E9" s="5">
        <f t="shared" si="0"/>
        <v>10.381458966565351</v>
      </c>
      <c r="F9" s="6">
        <f t="shared" si="1"/>
        <v>4.2287375502961945E-2</v>
      </c>
      <c r="G9" s="9" t="s">
        <v>28</v>
      </c>
      <c r="H9">
        <v>1</v>
      </c>
      <c r="I9" s="16">
        <f t="shared" si="2"/>
        <v>3.4604863221884503E-2</v>
      </c>
      <c r="J9" s="17">
        <f t="shared" si="3"/>
        <v>1.3478868008039439E-2</v>
      </c>
      <c r="K9" s="18">
        <f t="shared" si="4"/>
        <v>1.3663030188540634E-2</v>
      </c>
      <c r="L9">
        <v>54.99</v>
      </c>
      <c r="M9">
        <v>8.7200000000000006</v>
      </c>
      <c r="N9" s="11">
        <f t="shared" si="5"/>
        <v>9.0925622840516453E-3</v>
      </c>
      <c r="O9" s="11">
        <f t="shared" si="8"/>
        <v>0.32542092714103232</v>
      </c>
      <c r="P9" s="11">
        <f t="shared" si="6"/>
        <v>2.3507535204306238E-2</v>
      </c>
      <c r="Q9" s="19">
        <f t="shared" si="7"/>
        <v>6.7931305069975859E-3</v>
      </c>
      <c r="R9" s="20">
        <f t="shared" si="9"/>
        <v>0.84142571376613928</v>
      </c>
      <c r="S9" s="21"/>
      <c r="T9" s="21"/>
      <c r="V9" s="6"/>
    </row>
    <row r="10" spans="1:22" ht="15" thickBot="1" x14ac:dyDescent="0.4">
      <c r="A10" s="23"/>
      <c r="B10" s="23"/>
      <c r="D10" s="10">
        <v>4</v>
      </c>
      <c r="E10" s="5">
        <f t="shared" si="0"/>
        <v>13.8419452887538</v>
      </c>
      <c r="F10" s="6">
        <f t="shared" si="1"/>
        <v>5.7703708218138312E-2</v>
      </c>
      <c r="G10" s="9" t="s">
        <v>27</v>
      </c>
      <c r="H10">
        <v>1</v>
      </c>
      <c r="I10" s="16">
        <f t="shared" si="2"/>
        <v>3.4604863221884503E-2</v>
      </c>
      <c r="J10" s="17">
        <f t="shared" si="3"/>
        <v>1.3478868008039439E-2</v>
      </c>
      <c r="K10" s="18">
        <f t="shared" si="4"/>
        <v>1.3663030188540634E-2</v>
      </c>
      <c r="L10">
        <v>45.04</v>
      </c>
      <c r="M10">
        <v>13.38</v>
      </c>
      <c r="N10" s="11">
        <f t="shared" si="5"/>
        <v>1.1101243339253997E-2</v>
      </c>
      <c r="O10" s="11">
        <f t="shared" si="8"/>
        <v>0.17639646499745479</v>
      </c>
      <c r="P10" s="11">
        <f t="shared" si="6"/>
        <v>2.8608756306459211E-2</v>
      </c>
      <c r="Q10" s="19">
        <f t="shared" si="7"/>
        <v>8.2672646682697224E-3</v>
      </c>
      <c r="R10" s="20">
        <f t="shared" si="9"/>
        <v>0.70293072824156311</v>
      </c>
      <c r="S10" s="21"/>
      <c r="T10" s="21"/>
      <c r="U10" s="11">
        <f>AVERAGE(Q9:Q11)</f>
        <v>7.3402222368268476E-3</v>
      </c>
      <c r="V10" s="6">
        <f>_xlfn.STDEV.S(Q9:Q11)</f>
        <v>8.0718014290484356E-4</v>
      </c>
    </row>
    <row r="11" spans="1:22" ht="15" thickBot="1" x14ac:dyDescent="0.4">
      <c r="A11" s="23"/>
      <c r="B11" s="23"/>
      <c r="D11" s="12">
        <v>5.8</v>
      </c>
      <c r="E11" s="5">
        <f t="shared" si="0"/>
        <v>20.07082066869301</v>
      </c>
      <c r="F11" s="6">
        <f t="shared" si="1"/>
        <v>8.7352959635173033E-2</v>
      </c>
      <c r="G11" s="9" t="s">
        <v>29</v>
      </c>
      <c r="H11">
        <v>1</v>
      </c>
      <c r="I11" s="16">
        <f t="shared" si="2"/>
        <v>3.4604863221884503E-2</v>
      </c>
      <c r="J11" s="17">
        <f t="shared" si="3"/>
        <v>1.3478868008039439E-2</v>
      </c>
      <c r="K11" s="18">
        <f t="shared" si="4"/>
        <v>1.3663030188540634E-2</v>
      </c>
      <c r="L11">
        <v>53.65</v>
      </c>
      <c r="M11">
        <v>20.55</v>
      </c>
      <c r="N11" s="11">
        <f t="shared" si="5"/>
        <v>9.3196644920782862E-3</v>
      </c>
      <c r="O11" s="11">
        <f t="shared" si="8"/>
        <v>0.30857216744613908</v>
      </c>
      <c r="P11" s="11">
        <f t="shared" si="6"/>
        <v>2.4085924446323008E-2</v>
      </c>
      <c r="Q11" s="19">
        <f t="shared" si="7"/>
        <v>6.9602715352132354E-3</v>
      </c>
      <c r="R11" s="20">
        <f t="shared" si="9"/>
        <v>0.61696178937558244</v>
      </c>
      <c r="S11" s="22">
        <f>AVERAGE(R11,R13,R14)</f>
        <v>0.69584362994329585</v>
      </c>
      <c r="T11" s="20">
        <f>_xlfn.STDEV.S(R10,R13,R14)</f>
        <v>2.6889347037482542E-2</v>
      </c>
      <c r="V11" s="6"/>
    </row>
    <row r="12" spans="1:22" ht="15" thickBot="1" x14ac:dyDescent="0.4">
      <c r="A12" s="23"/>
      <c r="B12" s="23"/>
      <c r="D12" s="10">
        <v>8.6999999999999993</v>
      </c>
      <c r="E12" s="5">
        <f t="shared" si="0"/>
        <v>30.106231003039515</v>
      </c>
      <c r="F12" s="6">
        <f t="shared" si="1"/>
        <v>0.14102983742825004</v>
      </c>
      <c r="G12" s="9" t="s">
        <v>30</v>
      </c>
      <c r="H12">
        <v>1</v>
      </c>
      <c r="I12" s="16">
        <f t="shared" si="2"/>
        <v>3.4604863221884503E-2</v>
      </c>
      <c r="J12" s="17">
        <f t="shared" si="3"/>
        <v>1.3478868008039439E-2</v>
      </c>
      <c r="K12" s="18">
        <f t="shared" si="4"/>
        <v>1.3663030188540634E-2</v>
      </c>
      <c r="L12">
        <v>44.37</v>
      </c>
      <c r="M12">
        <v>23.09</v>
      </c>
      <c r="N12" s="11">
        <f t="shared" si="5"/>
        <v>1.126887536623845E-2</v>
      </c>
      <c r="O12" s="11">
        <f t="shared" si="8"/>
        <v>0.16395981031069104</v>
      </c>
      <c r="P12" s="11">
        <f t="shared" si="6"/>
        <v>2.9032995334043611E-2</v>
      </c>
      <c r="Q12" s="17">
        <f t="shared" si="7"/>
        <v>8.3898598725519087E-3</v>
      </c>
      <c r="R12" s="20">
        <f>1-M12/L12</f>
        <v>0.47960333558710833</v>
      </c>
      <c r="S12" s="21"/>
      <c r="T12" s="21"/>
      <c r="V12" s="6"/>
    </row>
    <row r="13" spans="1:22" ht="15" thickBot="1" x14ac:dyDescent="0.4">
      <c r="A13" s="23"/>
      <c r="B13" s="23"/>
      <c r="D13" s="12">
        <v>10</v>
      </c>
      <c r="E13" s="5">
        <f t="shared" si="0"/>
        <v>34.6048632218845</v>
      </c>
      <c r="F13" s="6">
        <f t="shared" si="1"/>
        <v>0.16784580425778797</v>
      </c>
      <c r="G13" s="9" t="s">
        <v>31</v>
      </c>
      <c r="H13">
        <v>1</v>
      </c>
      <c r="I13" s="8">
        <f t="shared" si="2"/>
        <v>3.4604863221884503E-2</v>
      </c>
      <c r="J13" s="6">
        <f t="shared" si="3"/>
        <v>1.3478868008039439E-2</v>
      </c>
      <c r="K13" s="7">
        <f t="shared" si="4"/>
        <v>1.3663030188540634E-2</v>
      </c>
      <c r="L13">
        <v>57.77</v>
      </c>
      <c r="M13">
        <v>16.41</v>
      </c>
      <c r="N13" s="11">
        <f t="shared" si="5"/>
        <v>8.6550112515146257E-3</v>
      </c>
      <c r="O13" s="11">
        <f t="shared" si="8"/>
        <v>0.35788292856993886</v>
      </c>
      <c r="P13" s="11">
        <f t="shared" si="6"/>
        <v>2.2391984122047615E-2</v>
      </c>
      <c r="Q13" s="13">
        <f t="shared" si="7"/>
        <v>6.4707622100603109E-3</v>
      </c>
      <c r="R13" s="20">
        <f t="shared" si="9"/>
        <v>0.71594253072529002</v>
      </c>
      <c r="S13" s="21"/>
      <c r="T13" s="21"/>
      <c r="U13" s="11">
        <f>AVERAGE(Q12:Q14)</f>
        <v>7.0137491916874399E-3</v>
      </c>
      <c r="V13" s="6">
        <f>_xlfn.STDEV.S(Q12:Q14)</f>
        <v>1.2005437448166394E-3</v>
      </c>
    </row>
    <row r="14" spans="1:22" x14ac:dyDescent="0.35">
      <c r="A14" s="23"/>
      <c r="B14" s="23"/>
      <c r="E14" t="s">
        <v>32</v>
      </c>
      <c r="F14" t="s">
        <v>33</v>
      </c>
      <c r="G14" s="9" t="s">
        <v>34</v>
      </c>
      <c r="H14">
        <v>1</v>
      </c>
      <c r="I14" s="8">
        <f t="shared" si="2"/>
        <v>3.4604863221884503E-2</v>
      </c>
      <c r="J14" s="6">
        <f t="shared" si="3"/>
        <v>1.3478868008039439E-2</v>
      </c>
      <c r="K14" s="7">
        <f t="shared" si="4"/>
        <v>1.3663030188540634E-2</v>
      </c>
      <c r="L14">
        <v>60.52</v>
      </c>
      <c r="M14">
        <v>14.85</v>
      </c>
      <c r="N14" s="11">
        <f t="shared" si="5"/>
        <v>8.261731658955716E-3</v>
      </c>
      <c r="O14" s="11">
        <f t="shared" si="8"/>
        <v>0.38706042272778207</v>
      </c>
      <c r="P14" s="11">
        <f t="shared" si="6"/>
        <v>2.1387969979192831E-2</v>
      </c>
      <c r="Q14" s="13">
        <f t="shared" si="7"/>
        <v>6.180625492450101E-3</v>
      </c>
      <c r="R14" s="20">
        <f t="shared" si="9"/>
        <v>0.75462656972901521</v>
      </c>
      <c r="S14" s="21"/>
      <c r="T14" s="21"/>
      <c r="V14" s="6"/>
    </row>
    <row r="15" spans="1:22" x14ac:dyDescent="0.35">
      <c r="A15" s="23"/>
      <c r="B15" s="23"/>
      <c r="D15" t="s">
        <v>35</v>
      </c>
      <c r="E15">
        <v>104.15</v>
      </c>
      <c r="F15">
        <f>13.8/15.18</f>
        <v>0.90909090909090917</v>
      </c>
      <c r="G15" s="9" t="s">
        <v>28</v>
      </c>
      <c r="H15">
        <v>3</v>
      </c>
      <c r="I15" s="8">
        <f t="shared" si="2"/>
        <v>0.1038145896656535</v>
      </c>
      <c r="J15" s="6">
        <f t="shared" si="3"/>
        <v>4.2287375502961945E-2</v>
      </c>
      <c r="K15" s="7">
        <f t="shared" si="4"/>
        <v>4.4154555783547288E-2</v>
      </c>
      <c r="L15">
        <v>12.63</v>
      </c>
      <c r="M15">
        <v>5.53</v>
      </c>
      <c r="N15" s="11">
        <f t="shared" si="5"/>
        <v>3.9588281868566902E-2</v>
      </c>
      <c r="O15" s="11">
        <f t="shared" si="8"/>
        <v>6.3827409535169424E-2</v>
      </c>
      <c r="P15" s="11">
        <f t="shared" si="6"/>
        <v>9.7588537382688564E-2</v>
      </c>
      <c r="Q15" s="13">
        <f t="shared" si="7"/>
        <v>2.8200815809314477E-2</v>
      </c>
      <c r="R15" s="20">
        <f t="shared" si="9"/>
        <v>0.56215360253364999</v>
      </c>
      <c r="S15" s="21"/>
      <c r="T15" s="21"/>
      <c r="V15" s="6"/>
    </row>
    <row r="16" spans="1:22" x14ac:dyDescent="0.35">
      <c r="A16" s="23"/>
      <c r="B16" s="23"/>
      <c r="D16" t="s">
        <v>36</v>
      </c>
      <c r="E16">
        <v>273.24</v>
      </c>
      <c r="G16" s="9" t="s">
        <v>27</v>
      </c>
      <c r="H16">
        <v>3</v>
      </c>
      <c r="I16" s="8">
        <f t="shared" si="2"/>
        <v>0.1038145896656535</v>
      </c>
      <c r="J16" s="6">
        <f t="shared" si="3"/>
        <v>4.2287375502961945E-2</v>
      </c>
      <c r="K16" s="7">
        <f t="shared" si="4"/>
        <v>4.4154555783547288E-2</v>
      </c>
      <c r="L16">
        <v>13.18</v>
      </c>
      <c r="M16">
        <v>5.25</v>
      </c>
      <c r="N16" s="11">
        <f t="shared" si="5"/>
        <v>3.7936267071320182E-2</v>
      </c>
      <c r="O16" s="11">
        <f t="shared" si="8"/>
        <v>0.1028937922935652</v>
      </c>
      <c r="P16" s="11">
        <f t="shared" si="6"/>
        <v>9.3752444686606595E-2</v>
      </c>
      <c r="Q16" s="13">
        <f t="shared" si="7"/>
        <v>2.7092274309963606E-2</v>
      </c>
      <c r="R16" s="20">
        <f t="shared" si="9"/>
        <v>0.60166919575113809</v>
      </c>
      <c r="S16" s="22">
        <f>AVERAGE(R15:R17)</f>
        <v>0.60106150013748261</v>
      </c>
      <c r="T16" s="20">
        <f>_xlfn.STDEV.S(R15:R17)</f>
        <v>3.8607636954348427E-2</v>
      </c>
      <c r="U16" s="11">
        <f>AVERAGE(Q15:Q17)</f>
        <v>2.4873909458529391E-2</v>
      </c>
      <c r="V16" s="6">
        <f>_xlfn.STDEV.S(Q15:Q17)</f>
        <v>4.8342259559900434E-3</v>
      </c>
    </row>
    <row r="17" spans="4:20" x14ac:dyDescent="0.35">
      <c r="D17" t="s">
        <v>37</v>
      </c>
      <c r="E17">
        <v>78.959999999999994</v>
      </c>
      <c r="G17" s="9" t="s">
        <v>29</v>
      </c>
      <c r="H17">
        <v>3</v>
      </c>
      <c r="I17" s="8">
        <f t="shared" si="2"/>
        <v>0.1038145896656535</v>
      </c>
      <c r="J17" s="6">
        <f t="shared" si="3"/>
        <v>4.2287375502961945E-2</v>
      </c>
      <c r="K17" s="7">
        <f t="shared" si="4"/>
        <v>4.4154555783547288E-2</v>
      </c>
      <c r="L17">
        <v>18.8</v>
      </c>
      <c r="M17">
        <v>6.78</v>
      </c>
      <c r="N17" s="11">
        <f t="shared" si="5"/>
        <v>2.6595744680851064E-2</v>
      </c>
      <c r="O17" s="11">
        <f t="shared" si="8"/>
        <v>0.37107128629942493</v>
      </c>
      <c r="P17" s="11">
        <f t="shared" si="6"/>
        <v>6.6886488312489445E-2</v>
      </c>
      <c r="Q17" s="6">
        <f t="shared" si="7"/>
        <v>1.9328638256310079E-2</v>
      </c>
      <c r="R17" s="20">
        <f t="shared" si="9"/>
        <v>0.63936170212765964</v>
      </c>
      <c r="S17" s="21"/>
      <c r="T17" s="21"/>
    </row>
    <row r="18" spans="4:20" x14ac:dyDescent="0.35">
      <c r="D18" t="s">
        <v>38</v>
      </c>
      <c r="E18" t="s">
        <v>39</v>
      </c>
      <c r="G18" s="9"/>
      <c r="I18" s="8"/>
      <c r="J18" s="6"/>
      <c r="K18" s="7"/>
      <c r="N18" s="11"/>
      <c r="O18" s="11"/>
      <c r="P18" s="11"/>
      <c r="Q18" s="6"/>
      <c r="R18" s="8"/>
    </row>
    <row r="19" spans="4:20" x14ac:dyDescent="0.35">
      <c r="D19">
        <v>1.27</v>
      </c>
      <c r="E19">
        <f>D19*F15</f>
        <v>1.1545454545454548</v>
      </c>
      <c r="G19" s="9"/>
      <c r="I19" s="8"/>
      <c r="J19" s="6"/>
      <c r="K19" s="7"/>
      <c r="N19" s="11"/>
      <c r="O19" s="11"/>
      <c r="P19" s="11"/>
      <c r="Q19" s="6"/>
      <c r="R19" s="8"/>
    </row>
    <row r="20" spans="4:20" x14ac:dyDescent="0.35">
      <c r="D20">
        <v>1.0900000000000001</v>
      </c>
      <c r="E20">
        <f>D20*F15</f>
        <v>0.99090909090909107</v>
      </c>
      <c r="G20" s="9"/>
      <c r="I20" s="8"/>
      <c r="J20" s="6"/>
      <c r="K20" s="7"/>
      <c r="N20" s="11"/>
      <c r="O20" s="11"/>
      <c r="P20" s="11"/>
      <c r="Q20" s="6"/>
      <c r="R20" s="8"/>
    </row>
    <row r="21" spans="4:20" x14ac:dyDescent="0.35">
      <c r="G21" s="9"/>
      <c r="I21" s="8"/>
      <c r="J21" s="6"/>
      <c r="K21" s="7"/>
      <c r="N21" s="11"/>
      <c r="O21" s="11"/>
      <c r="P21" s="11"/>
      <c r="Q21" s="6"/>
      <c r="R21" s="8"/>
    </row>
    <row r="22" spans="4:20" x14ac:dyDescent="0.35">
      <c r="G22" s="9"/>
      <c r="I22" s="8"/>
      <c r="J22" s="6"/>
      <c r="K22" s="7"/>
      <c r="N22" s="11"/>
      <c r="O22" s="11"/>
      <c r="P22" s="11"/>
      <c r="Q22" s="13"/>
      <c r="R22" s="8"/>
    </row>
    <row r="23" spans="4:20" x14ac:dyDescent="0.35">
      <c r="G23" s="9"/>
      <c r="I23" s="8"/>
      <c r="J23" s="6"/>
      <c r="K23" s="7"/>
      <c r="N23" s="11"/>
      <c r="O23" s="11"/>
      <c r="P23" s="11"/>
      <c r="Q23" s="13"/>
      <c r="R23" s="8"/>
    </row>
    <row r="24" spans="4:20" x14ac:dyDescent="0.35">
      <c r="G24" s="9"/>
      <c r="I24" s="8"/>
      <c r="J24" s="6"/>
      <c r="K24" s="7"/>
      <c r="N24" s="11"/>
      <c r="O24" s="11"/>
      <c r="P24" s="11"/>
      <c r="Q24" s="13"/>
      <c r="R24" s="8"/>
    </row>
    <row r="25" spans="4:20" x14ac:dyDescent="0.35">
      <c r="G25" s="9"/>
      <c r="I25" s="8"/>
      <c r="J25" s="6"/>
      <c r="K25" s="7"/>
      <c r="N25" s="11"/>
      <c r="O25" s="11"/>
      <c r="P25" s="11"/>
      <c r="Q25" s="6"/>
      <c r="R25" s="8"/>
    </row>
    <row r="26" spans="4:20" x14ac:dyDescent="0.35">
      <c r="G26" s="9"/>
      <c r="I26" s="8"/>
      <c r="J26" s="6"/>
      <c r="K26" s="7"/>
      <c r="N26" s="11"/>
      <c r="O26" s="11"/>
      <c r="P26" s="11"/>
      <c r="Q26" s="6"/>
      <c r="R26" s="8"/>
    </row>
    <row r="27" spans="4:20" ht="45.75" customHeight="1" x14ac:dyDescent="0.35">
      <c r="D27" t="s">
        <v>40</v>
      </c>
      <c r="E27" s="3" t="s">
        <v>41</v>
      </c>
    </row>
    <row r="28" spans="4:20" x14ac:dyDescent="0.35">
      <c r="E28" t="s">
        <v>42</v>
      </c>
    </row>
    <row r="36" spans="5:8" x14ac:dyDescent="0.35">
      <c r="F36" t="s">
        <v>43</v>
      </c>
    </row>
    <row r="43" spans="5:8" x14ac:dyDescent="0.35">
      <c r="E43" t="s">
        <v>44</v>
      </c>
      <c r="F43" t="s">
        <v>45</v>
      </c>
      <c r="G43" t="s">
        <v>46</v>
      </c>
      <c r="H43" t="s">
        <v>47</v>
      </c>
    </row>
    <row r="44" spans="5:8" x14ac:dyDescent="0.35">
      <c r="E44">
        <v>0.28000000000000003</v>
      </c>
      <c r="F44">
        <f>E44+E19</f>
        <v>1.4345454545454548</v>
      </c>
      <c r="G44">
        <f>E44/F44</f>
        <v>0.19518377693282635</v>
      </c>
      <c r="H44">
        <f>G44*E17/E16</f>
        <v>5.6403568389020518E-2</v>
      </c>
    </row>
    <row r="45" spans="5:8" x14ac:dyDescent="0.35">
      <c r="E45">
        <v>0.42</v>
      </c>
      <c r="F45">
        <f>E45+E20</f>
        <v>1.4109090909090911</v>
      </c>
      <c r="G45">
        <f>E45/F45</f>
        <v>0.29768041237113396</v>
      </c>
      <c r="H45" s="15">
        <f>G45*E17/E16</f>
        <v>8.6022710294337335E-2</v>
      </c>
    </row>
    <row r="63" spans="5:12" x14ac:dyDescent="0.35">
      <c r="F63" t="s">
        <v>48</v>
      </c>
      <c r="G63" t="s">
        <v>49</v>
      </c>
      <c r="H63" t="s">
        <v>50</v>
      </c>
      <c r="I63" t="s">
        <v>51</v>
      </c>
      <c r="K63" t="s">
        <v>52</v>
      </c>
      <c r="L63" t="s">
        <v>53</v>
      </c>
    </row>
    <row r="64" spans="5:12" x14ac:dyDescent="0.35">
      <c r="E64" t="s">
        <v>54</v>
      </c>
      <c r="F64" cm="1">
        <f t="array" ref="F64:G64">LINEST(L64:L71,K64:K71)</f>
        <v>-1</v>
      </c>
      <c r="G64">
        <v>5.0106352940962555</v>
      </c>
      <c r="H64">
        <f>3/2</f>
        <v>1.5</v>
      </c>
      <c r="I64">
        <v>100</v>
      </c>
      <c r="K64">
        <f>LN(H64)</f>
        <v>0.40546510810816438</v>
      </c>
      <c r="L64">
        <f>LN(I64)</f>
        <v>4.6051701859880918</v>
      </c>
    </row>
    <row r="65" spans="5:15" x14ac:dyDescent="0.35">
      <c r="H65">
        <f>H64*2</f>
        <v>3</v>
      </c>
      <c r="I65">
        <f>I64/2</f>
        <v>50</v>
      </c>
      <c r="K65">
        <f t="shared" ref="K65:L71" si="10">LN(H65)</f>
        <v>1.0986122886681098</v>
      </c>
      <c r="L65">
        <f t="shared" si="10"/>
        <v>3.912023005428146</v>
      </c>
    </row>
    <row r="66" spans="5:15" x14ac:dyDescent="0.35">
      <c r="F66" t="s">
        <v>32</v>
      </c>
      <c r="H66">
        <f t="shared" ref="H66:H71" si="11">H65*2</f>
        <v>6</v>
      </c>
      <c r="I66">
        <f t="shared" ref="I66:I71" si="12">I65/2</f>
        <v>25</v>
      </c>
      <c r="K66">
        <f t="shared" si="10"/>
        <v>1.791759469228055</v>
      </c>
      <c r="L66">
        <f t="shared" si="10"/>
        <v>3.2188758248682006</v>
      </c>
    </row>
    <row r="67" spans="5:15" x14ac:dyDescent="0.35">
      <c r="E67" t="s">
        <v>35</v>
      </c>
      <c r="F67">
        <v>104.15</v>
      </c>
      <c r="H67">
        <f t="shared" si="11"/>
        <v>12</v>
      </c>
      <c r="I67">
        <f t="shared" si="12"/>
        <v>12.5</v>
      </c>
      <c r="K67">
        <f t="shared" si="10"/>
        <v>2.4849066497880004</v>
      </c>
      <c r="L67">
        <f t="shared" si="10"/>
        <v>2.5257286443082556</v>
      </c>
    </row>
    <row r="68" spans="5:15" x14ac:dyDescent="0.35">
      <c r="E68" t="s">
        <v>36</v>
      </c>
      <c r="F68">
        <v>273.24</v>
      </c>
      <c r="H68">
        <f t="shared" si="11"/>
        <v>24</v>
      </c>
      <c r="I68">
        <f t="shared" si="12"/>
        <v>6.25</v>
      </c>
      <c r="K68">
        <f t="shared" si="10"/>
        <v>3.1780538303479458</v>
      </c>
      <c r="L68">
        <f t="shared" si="10"/>
        <v>1.8325814637483102</v>
      </c>
    </row>
    <row r="69" spans="5:15" x14ac:dyDescent="0.35">
      <c r="E69" t="s">
        <v>37</v>
      </c>
      <c r="F69">
        <v>78.959999999999994</v>
      </c>
      <c r="H69">
        <f t="shared" si="11"/>
        <v>48</v>
      </c>
      <c r="I69">
        <f t="shared" si="12"/>
        <v>3.125</v>
      </c>
      <c r="K69">
        <f>LN(H69)</f>
        <v>3.8712010109078911</v>
      </c>
      <c r="L69">
        <f t="shared" si="10"/>
        <v>1.1394342831883648</v>
      </c>
    </row>
    <row r="70" spans="5:15" x14ac:dyDescent="0.35">
      <c r="H70">
        <f t="shared" si="11"/>
        <v>96</v>
      </c>
      <c r="I70">
        <f t="shared" si="12"/>
        <v>1.5625</v>
      </c>
      <c r="K70">
        <f t="shared" si="10"/>
        <v>4.5643481914678361</v>
      </c>
      <c r="L70">
        <f t="shared" si="10"/>
        <v>0.44628710262841953</v>
      </c>
    </row>
    <row r="71" spans="5:15" x14ac:dyDescent="0.35">
      <c r="H71">
        <f t="shared" si="11"/>
        <v>192</v>
      </c>
      <c r="I71">
        <f t="shared" si="12"/>
        <v>0.78125</v>
      </c>
      <c r="K71">
        <f>LN(H71)</f>
        <v>5.2574953720277815</v>
      </c>
      <c r="L71">
        <f t="shared" si="10"/>
        <v>-0.24686007793152578</v>
      </c>
    </row>
    <row r="74" spans="5:15" x14ac:dyDescent="0.35">
      <c r="I74" t="s">
        <v>55</v>
      </c>
      <c r="J74" t="s">
        <v>50</v>
      </c>
      <c r="K74" t="s">
        <v>56</v>
      </c>
      <c r="L74" t="s">
        <v>57</v>
      </c>
      <c r="M74" t="s">
        <v>51</v>
      </c>
      <c r="N74" t="s">
        <v>58</v>
      </c>
      <c r="O74" t="s">
        <v>59</v>
      </c>
    </row>
    <row r="75" spans="5:15" x14ac:dyDescent="0.35">
      <c r="I75" t="s">
        <v>60</v>
      </c>
      <c r="J75">
        <v>250</v>
      </c>
      <c r="K75">
        <f>LN(J75)</f>
        <v>5.521460917862246</v>
      </c>
      <c r="L75">
        <f>K75*$F$64+$G$64</f>
        <v>-0.5108256237659905</v>
      </c>
      <c r="M75">
        <f>EXP(L75)</f>
        <v>0.60000000000000009</v>
      </c>
      <c r="N75" s="8">
        <f>M75*$F$68/(M75*$F$68+$F$67*(100-M75))</f>
        <v>1.558928513356308E-2</v>
      </c>
      <c r="O75" s="13">
        <f>N75*($F$69/$F$68)</f>
        <v>4.5049405436471263E-3</v>
      </c>
    </row>
    <row r="76" spans="5:15" x14ac:dyDescent="0.35">
      <c r="I76" t="s">
        <v>61</v>
      </c>
      <c r="K76" t="e">
        <f t="shared" ref="K76:K98" si="13">LN(J76)</f>
        <v>#NUM!</v>
      </c>
      <c r="L76" t="e">
        <f t="shared" ref="L76:L82" si="14">K76*$F$64+$G$64</f>
        <v>#NUM!</v>
      </c>
      <c r="M76" t="e">
        <f t="shared" ref="M76:M98" si="15">EXP(L76)</f>
        <v>#NUM!</v>
      </c>
      <c r="N76" s="8" t="e">
        <f t="shared" ref="N76:N98" si="16">M76*$F$68/(M76*$F$68+$F$67*(100-M76))</f>
        <v>#NUM!</v>
      </c>
      <c r="O76" s="13" t="e">
        <f t="shared" ref="O76:O98" si="17">N76*($F$69/$F$68)</f>
        <v>#NUM!</v>
      </c>
    </row>
    <row r="77" spans="5:15" x14ac:dyDescent="0.35">
      <c r="I77" t="s">
        <v>62</v>
      </c>
      <c r="K77" t="e">
        <f t="shared" si="13"/>
        <v>#NUM!</v>
      </c>
      <c r="L77" t="e">
        <f t="shared" si="14"/>
        <v>#NUM!</v>
      </c>
      <c r="M77" t="e">
        <f t="shared" si="15"/>
        <v>#NUM!</v>
      </c>
      <c r="N77" s="8" t="e">
        <f t="shared" si="16"/>
        <v>#NUM!</v>
      </c>
      <c r="O77" s="13" t="e">
        <f t="shared" si="17"/>
        <v>#NUM!</v>
      </c>
    </row>
    <row r="78" spans="5:15" x14ac:dyDescent="0.35">
      <c r="I78" t="s">
        <v>63</v>
      </c>
      <c r="J78">
        <v>49.84</v>
      </c>
      <c r="K78">
        <f t="shared" si="13"/>
        <v>3.9088178744791979</v>
      </c>
      <c r="L78">
        <f t="shared" si="14"/>
        <v>1.1018174196170576</v>
      </c>
      <c r="M78">
        <f t="shared" si="15"/>
        <v>3.0096308186195815</v>
      </c>
      <c r="N78" s="8">
        <f t="shared" si="16"/>
        <v>7.5280040981024574E-2</v>
      </c>
      <c r="O78" s="13">
        <f t="shared" si="17"/>
        <v>2.1754179607164761E-2</v>
      </c>
    </row>
    <row r="79" spans="5:15" x14ac:dyDescent="0.35">
      <c r="I79" t="s">
        <v>64</v>
      </c>
      <c r="J79">
        <v>47.23</v>
      </c>
      <c r="K79">
        <f t="shared" si="13"/>
        <v>3.8550292839080256</v>
      </c>
      <c r="L79">
        <f t="shared" si="14"/>
        <v>1.1556060101882299</v>
      </c>
      <c r="M79">
        <f t="shared" si="15"/>
        <v>3.175947491001482</v>
      </c>
      <c r="N79" s="8">
        <f t="shared" si="16"/>
        <v>7.9236142398866186E-2</v>
      </c>
      <c r="O79" s="13">
        <f t="shared" si="17"/>
        <v>2.2897400833752281E-2</v>
      </c>
    </row>
    <row r="80" spans="5:15" x14ac:dyDescent="0.35">
      <c r="I80" t="s">
        <v>65</v>
      </c>
      <c r="K80" t="e">
        <f t="shared" si="13"/>
        <v>#NUM!</v>
      </c>
      <c r="L80" t="e">
        <f>K80*$F$64+$G$64</f>
        <v>#NUM!</v>
      </c>
      <c r="M80" t="e">
        <f t="shared" si="15"/>
        <v>#NUM!</v>
      </c>
      <c r="N80" s="8" t="e">
        <f t="shared" si="16"/>
        <v>#NUM!</v>
      </c>
      <c r="O80" s="13" t="e">
        <f t="shared" si="17"/>
        <v>#NUM!</v>
      </c>
    </row>
    <row r="81" spans="9:19" x14ac:dyDescent="0.35">
      <c r="I81" t="s">
        <v>66</v>
      </c>
      <c r="K81" t="e">
        <f t="shared" si="13"/>
        <v>#NUM!</v>
      </c>
      <c r="L81" t="e">
        <f t="shared" si="14"/>
        <v>#NUM!</v>
      </c>
      <c r="M81" t="e">
        <f t="shared" si="15"/>
        <v>#NUM!</v>
      </c>
      <c r="N81" s="8" t="e">
        <f t="shared" si="16"/>
        <v>#NUM!</v>
      </c>
      <c r="O81" s="13" t="e">
        <f t="shared" si="17"/>
        <v>#NUM!</v>
      </c>
    </row>
    <row r="82" spans="9:19" x14ac:dyDescent="0.35">
      <c r="I82" t="s">
        <v>67</v>
      </c>
      <c r="J82">
        <v>28.91</v>
      </c>
      <c r="K82">
        <f t="shared" si="13"/>
        <v>3.3641875560282548</v>
      </c>
      <c r="L82">
        <f t="shared" si="14"/>
        <v>1.6464477380680007</v>
      </c>
      <c r="M82">
        <f t="shared" si="15"/>
        <v>5.1885160843998595</v>
      </c>
      <c r="N82" s="8">
        <f t="shared" si="16"/>
        <v>0.12554633223585712</v>
      </c>
      <c r="O82" s="13">
        <f t="shared" si="17"/>
        <v>3.6279967769518653E-2</v>
      </c>
    </row>
    <row r="83" spans="9:19" x14ac:dyDescent="0.35">
      <c r="I83" t="s">
        <v>68</v>
      </c>
      <c r="J83">
        <v>25.9</v>
      </c>
      <c r="K83">
        <f t="shared" si="13"/>
        <v>3.2542429687054919</v>
      </c>
      <c r="L83">
        <f>K83*$F$64+$G$64</f>
        <v>1.7563923253907636</v>
      </c>
      <c r="M83">
        <f t="shared" si="15"/>
        <v>5.7915057915057915</v>
      </c>
      <c r="N83" s="8">
        <f t="shared" si="16"/>
        <v>0.13888286481064815</v>
      </c>
      <c r="O83" s="13">
        <f t="shared" si="17"/>
        <v>4.0133915259291379E-2</v>
      </c>
    </row>
    <row r="84" spans="9:19" x14ac:dyDescent="0.35">
      <c r="K84" t="e">
        <f t="shared" si="13"/>
        <v>#NUM!</v>
      </c>
      <c r="L84" t="e">
        <f t="shared" ref="L84:L98" si="18">K84*$F$64+$G$64</f>
        <v>#NUM!</v>
      </c>
      <c r="M84" t="e">
        <f t="shared" si="15"/>
        <v>#NUM!</v>
      </c>
      <c r="N84" s="8" t="e">
        <f t="shared" si="16"/>
        <v>#NUM!</v>
      </c>
      <c r="O84" s="13" t="e">
        <f t="shared" si="17"/>
        <v>#NUM!</v>
      </c>
    </row>
    <row r="85" spans="9:19" x14ac:dyDescent="0.35">
      <c r="I85" t="s">
        <v>69</v>
      </c>
      <c r="J85">
        <v>5</v>
      </c>
      <c r="K85">
        <f t="shared" si="13"/>
        <v>1.6094379124341003</v>
      </c>
      <c r="L85">
        <f t="shared" si="18"/>
        <v>3.401197381662155</v>
      </c>
      <c r="M85">
        <f t="shared" si="15"/>
        <v>29.999999999999989</v>
      </c>
      <c r="N85" s="8">
        <f t="shared" si="16"/>
        <v>0.52927161554007363</v>
      </c>
      <c r="O85" s="13">
        <f t="shared" si="17"/>
        <v>0.15294717743757946</v>
      </c>
    </row>
    <row r="86" spans="9:19" x14ac:dyDescent="0.35">
      <c r="I86" t="s">
        <v>70</v>
      </c>
      <c r="K86" t="e">
        <f t="shared" si="13"/>
        <v>#NUM!</v>
      </c>
      <c r="L86" t="e">
        <f t="shared" si="18"/>
        <v>#NUM!</v>
      </c>
      <c r="M86" t="e">
        <f t="shared" si="15"/>
        <v>#NUM!</v>
      </c>
      <c r="N86" s="8" t="e">
        <f t="shared" si="16"/>
        <v>#NUM!</v>
      </c>
      <c r="O86" s="13" t="e">
        <f t="shared" si="17"/>
        <v>#NUM!</v>
      </c>
    </row>
    <row r="87" spans="9:19" x14ac:dyDescent="0.35">
      <c r="I87" t="s">
        <v>71</v>
      </c>
      <c r="K87" t="e">
        <f t="shared" si="13"/>
        <v>#NUM!</v>
      </c>
      <c r="L87" t="e">
        <f t="shared" si="18"/>
        <v>#NUM!</v>
      </c>
      <c r="M87" t="e">
        <f t="shared" si="15"/>
        <v>#NUM!</v>
      </c>
      <c r="N87" s="8" t="e">
        <f t="shared" si="16"/>
        <v>#NUM!</v>
      </c>
      <c r="O87" s="13" t="e">
        <f t="shared" si="17"/>
        <v>#NUM!</v>
      </c>
    </row>
    <row r="88" spans="9:19" x14ac:dyDescent="0.35">
      <c r="I88" t="s">
        <v>72</v>
      </c>
      <c r="K88" t="e">
        <f t="shared" si="13"/>
        <v>#NUM!</v>
      </c>
      <c r="L88" t="e">
        <f>K88*$F$64+$G$64</f>
        <v>#NUM!</v>
      </c>
      <c r="M88" t="e">
        <f t="shared" si="15"/>
        <v>#NUM!</v>
      </c>
      <c r="N88" s="8" t="e">
        <f t="shared" si="16"/>
        <v>#NUM!</v>
      </c>
      <c r="O88" s="13" t="e">
        <f t="shared" si="17"/>
        <v>#NUM!</v>
      </c>
    </row>
    <row r="89" spans="9:19" x14ac:dyDescent="0.35">
      <c r="I89" t="s">
        <v>73</v>
      </c>
      <c r="K89" t="e">
        <f>LN(J89)</f>
        <v>#NUM!</v>
      </c>
      <c r="L89" t="e">
        <f>K89*$F$64+$G$64</f>
        <v>#NUM!</v>
      </c>
      <c r="M89" t="e">
        <f t="shared" si="15"/>
        <v>#NUM!</v>
      </c>
      <c r="N89" s="8" t="e">
        <f t="shared" si="16"/>
        <v>#NUM!</v>
      </c>
      <c r="O89" s="13" t="e">
        <f t="shared" si="17"/>
        <v>#NUM!</v>
      </c>
    </row>
    <row r="90" spans="9:19" x14ac:dyDescent="0.35">
      <c r="I90" t="s">
        <v>74</v>
      </c>
      <c r="K90" t="e">
        <f t="shared" si="13"/>
        <v>#NUM!</v>
      </c>
      <c r="L90" t="e">
        <f t="shared" si="18"/>
        <v>#NUM!</v>
      </c>
      <c r="M90" t="e">
        <f t="shared" si="15"/>
        <v>#NUM!</v>
      </c>
      <c r="N90" s="8" t="e">
        <f t="shared" si="16"/>
        <v>#NUM!</v>
      </c>
      <c r="O90" s="13" t="e">
        <f t="shared" si="17"/>
        <v>#NUM!</v>
      </c>
      <c r="P90" t="s">
        <v>75</v>
      </c>
      <c r="Q90" t="s">
        <v>76</v>
      </c>
      <c r="R90" t="s">
        <v>77</v>
      </c>
      <c r="S90" t="s">
        <v>78</v>
      </c>
    </row>
    <row r="91" spans="9:19" x14ac:dyDescent="0.35">
      <c r="I91" t="s">
        <v>79</v>
      </c>
      <c r="K91" t="e">
        <f t="shared" si="13"/>
        <v>#NUM!</v>
      </c>
      <c r="L91" t="e">
        <f t="shared" si="18"/>
        <v>#NUM!</v>
      </c>
      <c r="M91" t="e">
        <f t="shared" si="15"/>
        <v>#NUM!</v>
      </c>
      <c r="N91" s="8" t="e">
        <f t="shared" si="16"/>
        <v>#NUM!</v>
      </c>
      <c r="O91" s="13" t="e">
        <f t="shared" si="17"/>
        <v>#NUM!</v>
      </c>
      <c r="P91" s="14">
        <v>0.7</v>
      </c>
      <c r="Q91">
        <f>R91*S91/P91</f>
        <v>0.14000000000000001</v>
      </c>
      <c r="R91">
        <v>4.9000000000000004</v>
      </c>
      <c r="S91" s="14">
        <v>0.02</v>
      </c>
    </row>
    <row r="92" spans="9:19" x14ac:dyDescent="0.35">
      <c r="I92" t="s">
        <v>80</v>
      </c>
      <c r="K92" t="e">
        <f t="shared" si="13"/>
        <v>#NUM!</v>
      </c>
      <c r="L92" t="e">
        <f t="shared" si="18"/>
        <v>#NUM!</v>
      </c>
      <c r="M92" t="e">
        <f t="shared" si="15"/>
        <v>#NUM!</v>
      </c>
      <c r="N92" s="8" t="e">
        <f t="shared" si="16"/>
        <v>#NUM!</v>
      </c>
      <c r="O92" s="13" t="e">
        <f t="shared" si="17"/>
        <v>#NUM!</v>
      </c>
    </row>
    <row r="93" spans="9:19" x14ac:dyDescent="0.35">
      <c r="I93" t="s">
        <v>81</v>
      </c>
      <c r="K93" t="e">
        <f t="shared" si="13"/>
        <v>#NUM!</v>
      </c>
      <c r="L93" t="e">
        <f t="shared" si="18"/>
        <v>#NUM!</v>
      </c>
      <c r="M93" t="e">
        <f t="shared" si="15"/>
        <v>#NUM!</v>
      </c>
      <c r="N93" s="8" t="e">
        <f t="shared" si="16"/>
        <v>#NUM!</v>
      </c>
      <c r="O93" s="13" t="e">
        <f t="shared" si="17"/>
        <v>#NUM!</v>
      </c>
    </row>
    <row r="94" spans="9:19" x14ac:dyDescent="0.35">
      <c r="I94" t="s">
        <v>82</v>
      </c>
      <c r="J94">
        <v>24.31</v>
      </c>
      <c r="K94">
        <f t="shared" si="13"/>
        <v>3.1908877883280318</v>
      </c>
      <c r="L94">
        <f t="shared" si="18"/>
        <v>1.8197475057682237</v>
      </c>
      <c r="M94">
        <f t="shared" si="15"/>
        <v>6.170300287947347</v>
      </c>
      <c r="N94" s="8">
        <f t="shared" si="16"/>
        <v>0.14713941357121099</v>
      </c>
      <c r="O94" s="13">
        <f t="shared" si="17"/>
        <v>4.2519865669678004E-2</v>
      </c>
    </row>
    <row r="95" spans="9:19" x14ac:dyDescent="0.35">
      <c r="I95" t="s">
        <v>83</v>
      </c>
      <c r="K95" t="e">
        <f t="shared" si="13"/>
        <v>#NUM!</v>
      </c>
      <c r="L95" t="e">
        <f t="shared" si="18"/>
        <v>#NUM!</v>
      </c>
      <c r="M95" t="e">
        <f t="shared" si="15"/>
        <v>#NUM!</v>
      </c>
      <c r="N95" s="8" t="e">
        <f t="shared" si="16"/>
        <v>#NUM!</v>
      </c>
      <c r="O95" s="13" t="e">
        <f t="shared" si="17"/>
        <v>#NUM!</v>
      </c>
    </row>
    <row r="96" spans="9:19" x14ac:dyDescent="0.35">
      <c r="I96" t="s">
        <v>84</v>
      </c>
      <c r="K96" t="e">
        <f t="shared" si="13"/>
        <v>#NUM!</v>
      </c>
      <c r="L96" t="e">
        <f t="shared" si="18"/>
        <v>#NUM!</v>
      </c>
      <c r="M96" t="e">
        <f t="shared" si="15"/>
        <v>#NUM!</v>
      </c>
      <c r="N96" s="8" t="e">
        <f t="shared" si="16"/>
        <v>#NUM!</v>
      </c>
      <c r="O96" s="13" t="e">
        <f t="shared" si="17"/>
        <v>#NUM!</v>
      </c>
    </row>
    <row r="97" spans="9:15" x14ac:dyDescent="0.35">
      <c r="K97" t="e">
        <f t="shared" si="13"/>
        <v>#NUM!</v>
      </c>
      <c r="L97" t="e">
        <f t="shared" si="18"/>
        <v>#NUM!</v>
      </c>
      <c r="M97" t="e">
        <f t="shared" si="15"/>
        <v>#NUM!</v>
      </c>
      <c r="N97" s="8" t="e">
        <f t="shared" si="16"/>
        <v>#NUM!</v>
      </c>
      <c r="O97" s="13" t="e">
        <f t="shared" si="17"/>
        <v>#NUM!</v>
      </c>
    </row>
    <row r="98" spans="9:15" x14ac:dyDescent="0.35">
      <c r="I98" t="s">
        <v>85</v>
      </c>
      <c r="J98">
        <v>10.94</v>
      </c>
      <c r="K98">
        <f t="shared" si="13"/>
        <v>2.3924257969938352</v>
      </c>
      <c r="L98">
        <f t="shared" si="18"/>
        <v>2.6182094971024203</v>
      </c>
      <c r="M98">
        <f t="shared" si="15"/>
        <v>13.711151736745883</v>
      </c>
      <c r="N98" s="8">
        <f t="shared" si="16"/>
        <v>0.29422068058542628</v>
      </c>
      <c r="O98" s="13">
        <f t="shared" si="17"/>
        <v>8.5022928337817508E-2</v>
      </c>
    </row>
  </sheetData>
  <mergeCells count="1">
    <mergeCell ref="A2:B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Se-PS NMR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Li</dc:creator>
  <cp:keywords/>
  <dc:description/>
  <cp:lastModifiedBy>Frank Li</cp:lastModifiedBy>
  <cp:revision/>
  <dcterms:created xsi:type="dcterms:W3CDTF">2025-08-10T22:00:33Z</dcterms:created>
  <dcterms:modified xsi:type="dcterms:W3CDTF">2026-09-10T17:30:16Z</dcterms:modified>
  <cp:category/>
  <cp:contentStatus/>
</cp:coreProperties>
</file>