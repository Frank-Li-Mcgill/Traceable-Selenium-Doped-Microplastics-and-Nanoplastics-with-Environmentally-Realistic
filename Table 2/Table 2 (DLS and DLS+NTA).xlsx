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Ex1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harts/chartEx2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charts/chart5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4.xml" ContentType="application/vnd.openxmlformats-officedocument.drawingml.chartshapes+xml"/>
  <Override PartName="/xl/charts/chartEx3.xml" ContentType="application/vnd.ms-office.chartex+xml"/>
  <Override PartName="/xl/charts/style9.xml" ContentType="application/vnd.ms-office.chartstyle+xml"/>
  <Override PartName="/xl/charts/colors9.xml" ContentType="application/vnd.ms-office.chartcolorstyle+xml"/>
  <Override PartName="/xl/drawings/drawing5.xml" ContentType="application/vnd.openxmlformats-officedocument.drawing+xml"/>
  <Override PartName="/xl/charts/chart7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harts/chart8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2"/>
  <workbookPr/>
  <mc:AlternateContent xmlns:mc="http://schemas.openxmlformats.org/markup-compatibility/2006">
    <mc:Choice Requires="x15">
      <x15ac:absPath xmlns:x15ac="http://schemas.microsoft.com/office/spreadsheetml/2010/11/ac" url="D:\DATA\DLS Data\Excel sheets\"/>
    </mc:Choice>
  </mc:AlternateContent>
  <xr:revisionPtr revIDLastSave="0" documentId="13_ncr:1_{1694D587-84D5-4D7B-9B4B-FB124F8932E0}" xr6:coauthVersionLast="47" xr6:coauthVersionMax="47" xr10:uidLastSave="{00000000-0000-0000-0000-000000000000}"/>
  <bookViews>
    <workbookView xWindow="-120" yWindow="-120" windowWidth="29040" windowHeight="15720" firstSheet="5" activeTab="5" xr2:uid="{7B35BD59-E7D8-4500-A5CD-F195EE93E637}"/>
  </bookViews>
  <sheets>
    <sheet name="Description" sheetId="9" r:id="rId1"/>
    <sheet name="Summary" sheetId="5" r:id="rId2"/>
    <sheet name="0" sheetId="4" r:id="rId3"/>
    <sheet name="0.25 Con" sheetId="6" r:id="rId4"/>
    <sheet name="0.7 Con" sheetId="7" r:id="rId5"/>
    <sheet name="2.7 conc" sheetId="8" r:id="rId6"/>
    <sheet name="0.25 size" sheetId="1" r:id="rId7"/>
    <sheet name="0.7 size" sheetId="2" r:id="rId8"/>
    <sheet name="2.7 size" sheetId="3" r:id="rId9"/>
  </sheets>
  <externalReferences>
    <externalReference r:id="rId10"/>
  </externalReferences>
  <definedNames>
    <definedName name="_xlchart.v1.0" hidden="1">'0.25 Con'!$H$2:$H$9</definedName>
    <definedName name="_xlchart.v1.1" hidden="1">'0.25 Con'!$I$2:$I$9</definedName>
    <definedName name="_xlchart.v1.10" hidden="1">'0.7 Con'!$C$25:$C$33</definedName>
    <definedName name="_xlchart.v1.11" hidden="1">'0.7 Con'!$D$24</definedName>
    <definedName name="_xlchart.v1.12" hidden="1">'0.7 Con'!$D$25:$D$33</definedName>
    <definedName name="_xlchart.v1.13" hidden="1">'0.7 Con'!$E$24</definedName>
    <definedName name="_xlchart.v1.14" hidden="1">'0.7 Con'!$E$25:$E$33</definedName>
    <definedName name="_xlchart.v1.2" hidden="1">'0.25 Con'!$J$2:$J$9</definedName>
    <definedName name="_xlchart.v1.3" hidden="1">'0.25 Con'!$K$2:$K$9</definedName>
    <definedName name="_xlchart.v1.4" hidden="1">'0.25 Con'!$I$2:$I$4</definedName>
    <definedName name="_xlchart.v1.5" hidden="1">'0.25 Con'!$I$5:$I$7</definedName>
    <definedName name="_xlchart.v1.6" hidden="1">'0.25 Con'!$I$8:$I$10</definedName>
    <definedName name="_xlchart.v1.7" hidden="1">'0.25 Con'!$M$2:$M$4</definedName>
    <definedName name="_xlchart.v1.8" hidden="1">'0.25 Con'!$M$5:$M$7</definedName>
    <definedName name="_xlchart.v1.9" hidden="1">'0.25 Con'!$M$8:$M$10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93" i="5" l="1"/>
  <c r="P92" i="5"/>
  <c r="P88" i="5"/>
  <c r="P87" i="5"/>
  <c r="P83" i="5"/>
  <c r="P82" i="5"/>
  <c r="K18" i="8"/>
  <c r="J18" i="8"/>
  <c r="I18" i="8"/>
  <c r="K15" i="8"/>
  <c r="J15" i="8"/>
  <c r="I15" i="8"/>
  <c r="K12" i="8"/>
  <c r="J12" i="8"/>
  <c r="I12" i="8"/>
  <c r="K8" i="8"/>
  <c r="K5" i="8"/>
  <c r="K2" i="8"/>
  <c r="J8" i="8"/>
  <c r="J5" i="8"/>
  <c r="J2" i="8"/>
  <c r="I8" i="8"/>
  <c r="I5" i="8"/>
  <c r="I2" i="8"/>
  <c r="K18" i="7"/>
  <c r="J18" i="7"/>
  <c r="I18" i="7"/>
  <c r="K15" i="7"/>
  <c r="J15" i="7"/>
  <c r="I15" i="7"/>
  <c r="K12" i="7"/>
  <c r="J12" i="7"/>
  <c r="I12" i="7"/>
  <c r="K8" i="7"/>
  <c r="K5" i="7"/>
  <c r="K2" i="7"/>
  <c r="J8" i="7"/>
  <c r="J5" i="7"/>
  <c r="J3" i="7"/>
  <c r="J2" i="7"/>
  <c r="I8" i="7"/>
  <c r="I5" i="7"/>
  <c r="I2" i="7"/>
  <c r="K18" i="6"/>
  <c r="J18" i="6"/>
  <c r="I18" i="6"/>
  <c r="K15" i="6"/>
  <c r="J15" i="6"/>
  <c r="I15" i="6"/>
  <c r="K12" i="6"/>
  <c r="J12" i="6"/>
  <c r="I12" i="6"/>
  <c r="F36" i="8"/>
  <c r="K9" i="8" s="1"/>
  <c r="F35" i="8"/>
  <c r="J9" i="8" s="1"/>
  <c r="F34" i="8"/>
  <c r="I9" i="8" s="1"/>
  <c r="F33" i="8"/>
  <c r="K6" i="8" s="1"/>
  <c r="F32" i="8"/>
  <c r="J6" i="8" s="1"/>
  <c r="F31" i="8"/>
  <c r="I6" i="8" s="1"/>
  <c r="F30" i="8"/>
  <c r="K3" i="8" s="1"/>
  <c r="F29" i="8"/>
  <c r="J3" i="8" s="1"/>
  <c r="F28" i="8"/>
  <c r="I3" i="8" s="1"/>
  <c r="E33" i="7"/>
  <c r="K9" i="7" s="1"/>
  <c r="E32" i="7"/>
  <c r="J9" i="7" s="1"/>
  <c r="E31" i="7"/>
  <c r="I9" i="7" s="1"/>
  <c r="E30" i="7"/>
  <c r="K6" i="7" s="1"/>
  <c r="E29" i="7"/>
  <c r="J6" i="7" s="1"/>
  <c r="E28" i="7"/>
  <c r="I6" i="7" s="1"/>
  <c r="E27" i="7"/>
  <c r="K3" i="7" s="1"/>
  <c r="E26" i="7"/>
  <c r="E25" i="7"/>
  <c r="I3" i="7" s="1"/>
  <c r="K9" i="6"/>
  <c r="J9" i="6"/>
  <c r="I9" i="6"/>
  <c r="K6" i="6"/>
  <c r="J6" i="6"/>
  <c r="I6" i="6"/>
  <c r="K3" i="6"/>
  <c r="J3" i="6"/>
  <c r="I3" i="6"/>
  <c r="AB2" i="3"/>
  <c r="M93" i="5"/>
  <c r="S85" i="5" s="1"/>
  <c r="N93" i="5"/>
  <c r="S86" i="5" s="1"/>
  <c r="O93" i="5"/>
  <c r="S87" i="5" s="1"/>
  <c r="M94" i="5"/>
  <c r="S88" i="5" s="1"/>
  <c r="N94" i="5"/>
  <c r="S89" i="5" s="1"/>
  <c r="O94" i="5"/>
  <c r="S90" i="5" s="1"/>
  <c r="N92" i="5"/>
  <c r="S83" i="5" s="1"/>
  <c r="O92" i="5"/>
  <c r="S84" i="5" s="1"/>
  <c r="M92" i="5"/>
  <c r="S82" i="5" s="1"/>
  <c r="R90" i="5"/>
  <c r="R89" i="5"/>
  <c r="R88" i="5"/>
  <c r="R87" i="5"/>
  <c r="R86" i="5"/>
  <c r="R85" i="5"/>
  <c r="R84" i="5"/>
  <c r="R83" i="5"/>
  <c r="R82" i="5"/>
  <c r="M88" i="5"/>
  <c r="N88" i="5"/>
  <c r="O88" i="5"/>
  <c r="M89" i="5"/>
  <c r="N89" i="5"/>
  <c r="O89" i="5"/>
  <c r="N87" i="5"/>
  <c r="O87" i="5"/>
  <c r="M87" i="5"/>
  <c r="Q90" i="5"/>
  <c r="Q89" i="5"/>
  <c r="Q88" i="5"/>
  <c r="Q87" i="5"/>
  <c r="Q86" i="5"/>
  <c r="Q85" i="5"/>
  <c r="Q84" i="5"/>
  <c r="Q83" i="5"/>
  <c r="Q82" i="5"/>
  <c r="O82" i="5"/>
  <c r="N82" i="5"/>
  <c r="M83" i="5"/>
  <c r="N83" i="5"/>
  <c r="O83" i="5"/>
  <c r="M84" i="5"/>
  <c r="N84" i="5"/>
  <c r="O84" i="5"/>
  <c r="M82" i="5"/>
  <c r="H91" i="5"/>
  <c r="H90" i="5"/>
  <c r="H89" i="5"/>
  <c r="H88" i="5"/>
  <c r="H87" i="5"/>
  <c r="H86" i="5"/>
  <c r="H85" i="5"/>
  <c r="K85" i="5"/>
  <c r="K86" i="5"/>
  <c r="K87" i="5"/>
  <c r="K88" i="5"/>
  <c r="K89" i="5"/>
  <c r="K90" i="5"/>
  <c r="K91" i="5"/>
  <c r="K92" i="5"/>
  <c r="K93" i="5"/>
  <c r="J93" i="5"/>
  <c r="J92" i="5"/>
  <c r="J91" i="5"/>
  <c r="J90" i="5"/>
  <c r="J89" i="5"/>
  <c r="J88" i="5"/>
  <c r="J87" i="5"/>
  <c r="J86" i="5"/>
  <c r="J85" i="5"/>
  <c r="I85" i="5"/>
  <c r="I86" i="5"/>
  <c r="I88" i="5"/>
  <c r="I89" i="5"/>
  <c r="I91" i="5"/>
  <c r="I92" i="5"/>
  <c r="I93" i="5"/>
  <c r="I75" i="5"/>
  <c r="I76" i="5"/>
  <c r="I77" i="5"/>
  <c r="G75" i="5"/>
  <c r="G76" i="5"/>
  <c r="G77" i="5"/>
  <c r="I90" i="5" s="1"/>
  <c r="E75" i="5"/>
  <c r="E76" i="5"/>
  <c r="E77" i="5"/>
  <c r="I87" i="5" s="1"/>
  <c r="H77" i="5"/>
  <c r="H93" i="5" s="1"/>
  <c r="F77" i="5"/>
  <c r="H92" i="5" s="1"/>
  <c r="D77" i="5"/>
  <c r="H76" i="5"/>
  <c r="F76" i="5"/>
  <c r="D76" i="5"/>
  <c r="H75" i="5"/>
  <c r="F75" i="5"/>
  <c r="D75" i="5"/>
  <c r="S3" i="5"/>
  <c r="S4" i="5"/>
  <c r="S5" i="5"/>
  <c r="S6" i="5"/>
  <c r="S7" i="5"/>
  <c r="S8" i="5"/>
  <c r="S9" i="5"/>
  <c r="S10" i="5"/>
  <c r="S11" i="5"/>
  <c r="S12" i="5"/>
  <c r="S13" i="5"/>
  <c r="S14" i="5"/>
  <c r="S15" i="5"/>
  <c r="S16" i="5"/>
  <c r="S17" i="5"/>
  <c r="S18" i="5"/>
  <c r="S19" i="5"/>
  <c r="S20" i="5"/>
  <c r="S21" i="5"/>
  <c r="S22" i="5"/>
  <c r="S23" i="5"/>
  <c r="S24" i="5"/>
  <c r="S25" i="5"/>
  <c r="S26" i="5"/>
  <c r="S27" i="5"/>
  <c r="S28" i="5"/>
  <c r="S29" i="5"/>
  <c r="S30" i="5"/>
  <c r="S31" i="5"/>
  <c r="S32" i="5"/>
  <c r="S33" i="5"/>
  <c r="S34" i="5"/>
  <c r="S35" i="5"/>
  <c r="S36" i="5"/>
  <c r="S37" i="5"/>
  <c r="S38" i="5"/>
  <c r="S39" i="5"/>
  <c r="S40" i="5"/>
  <c r="S41" i="5"/>
  <c r="S42" i="5"/>
  <c r="S43" i="5"/>
  <c r="S44" i="5"/>
  <c r="S45" i="5"/>
  <c r="S46" i="5"/>
  <c r="S47" i="5"/>
  <c r="S48" i="5"/>
  <c r="S49" i="5"/>
  <c r="S50" i="5"/>
  <c r="S51" i="5"/>
  <c r="S52" i="5"/>
  <c r="S53" i="5"/>
  <c r="S54" i="5"/>
  <c r="S55" i="5"/>
  <c r="S56" i="5"/>
  <c r="S57" i="5"/>
  <c r="S58" i="5"/>
  <c r="S59" i="5"/>
  <c r="S60" i="5"/>
  <c r="S61" i="5"/>
  <c r="S62" i="5"/>
  <c r="S63" i="5"/>
  <c r="S64" i="5"/>
  <c r="S65" i="5"/>
  <c r="S66" i="5"/>
  <c r="S67" i="5"/>
  <c r="S68" i="5"/>
  <c r="S69" i="5"/>
  <c r="S70" i="5"/>
  <c r="S71" i="5"/>
  <c r="S2" i="5"/>
  <c r="R3" i="5"/>
  <c r="R4" i="5"/>
  <c r="R5" i="5"/>
  <c r="R6" i="5"/>
  <c r="R7" i="5"/>
  <c r="R8" i="5"/>
  <c r="R9" i="5"/>
  <c r="R10" i="5"/>
  <c r="R11" i="5"/>
  <c r="R12" i="5"/>
  <c r="R13" i="5"/>
  <c r="R14" i="5"/>
  <c r="R15" i="5"/>
  <c r="R16" i="5"/>
  <c r="R17" i="5"/>
  <c r="R18" i="5"/>
  <c r="R19" i="5"/>
  <c r="R20" i="5"/>
  <c r="R21" i="5"/>
  <c r="R22" i="5"/>
  <c r="R23" i="5"/>
  <c r="R24" i="5"/>
  <c r="R25" i="5"/>
  <c r="R26" i="5"/>
  <c r="R27" i="5"/>
  <c r="R28" i="5"/>
  <c r="R29" i="5"/>
  <c r="R30" i="5"/>
  <c r="R31" i="5"/>
  <c r="R32" i="5"/>
  <c r="R33" i="5"/>
  <c r="R34" i="5"/>
  <c r="R35" i="5"/>
  <c r="R36" i="5"/>
  <c r="R37" i="5"/>
  <c r="R38" i="5"/>
  <c r="R39" i="5"/>
  <c r="R40" i="5"/>
  <c r="R41" i="5"/>
  <c r="R42" i="5"/>
  <c r="R43" i="5"/>
  <c r="R44" i="5"/>
  <c r="R45" i="5"/>
  <c r="R46" i="5"/>
  <c r="R47" i="5"/>
  <c r="R48" i="5"/>
  <c r="R49" i="5"/>
  <c r="R50" i="5"/>
  <c r="R51" i="5"/>
  <c r="R52" i="5"/>
  <c r="R53" i="5"/>
  <c r="R54" i="5"/>
  <c r="R55" i="5"/>
  <c r="R56" i="5"/>
  <c r="R57" i="5"/>
  <c r="R58" i="5"/>
  <c r="R59" i="5"/>
  <c r="R60" i="5"/>
  <c r="R61" i="5"/>
  <c r="R62" i="5"/>
  <c r="R63" i="5"/>
  <c r="R64" i="5"/>
  <c r="R65" i="5"/>
  <c r="R66" i="5"/>
  <c r="R67" i="5"/>
  <c r="R68" i="5"/>
  <c r="R69" i="5"/>
  <c r="R70" i="5"/>
  <c r="R71" i="5"/>
  <c r="R2" i="5"/>
  <c r="Q2" i="5"/>
  <c r="Q3" i="5"/>
  <c r="Q4" i="5"/>
  <c r="Q5" i="5"/>
  <c r="Q6" i="5"/>
  <c r="Q7" i="5"/>
  <c r="Q8" i="5"/>
  <c r="Q9" i="5"/>
  <c r="Q10" i="5"/>
  <c r="Q11" i="5"/>
  <c r="Q12" i="5"/>
  <c r="Q13" i="5"/>
  <c r="Q14" i="5"/>
  <c r="Q15" i="5"/>
  <c r="Q16" i="5"/>
  <c r="Q17" i="5"/>
  <c r="Q18" i="5"/>
  <c r="Q19" i="5"/>
  <c r="Q20" i="5"/>
  <c r="Q21" i="5"/>
  <c r="Q22" i="5"/>
  <c r="Q23" i="5"/>
  <c r="Q24" i="5"/>
  <c r="Q25" i="5"/>
  <c r="Q26" i="5"/>
  <c r="Q27" i="5"/>
  <c r="Q28" i="5"/>
  <c r="Q29" i="5"/>
  <c r="Q30" i="5"/>
  <c r="Q31" i="5"/>
  <c r="Q32" i="5"/>
  <c r="Q33" i="5"/>
  <c r="Q34" i="5"/>
  <c r="Q35" i="5"/>
  <c r="Q36" i="5"/>
  <c r="Q37" i="5"/>
  <c r="Q38" i="5"/>
  <c r="Q39" i="5"/>
  <c r="Q40" i="5"/>
  <c r="Q41" i="5"/>
  <c r="Q42" i="5"/>
  <c r="Q43" i="5"/>
  <c r="Q44" i="5"/>
  <c r="Q45" i="5"/>
  <c r="Q46" i="5"/>
  <c r="Q47" i="5"/>
  <c r="Q48" i="5"/>
  <c r="Q49" i="5"/>
  <c r="Q50" i="5"/>
  <c r="Q51" i="5"/>
  <c r="Q52" i="5"/>
  <c r="Q53" i="5"/>
  <c r="Q54" i="5"/>
  <c r="Q55" i="5"/>
  <c r="Q56" i="5"/>
  <c r="Q57" i="5"/>
  <c r="Q58" i="5"/>
  <c r="Q59" i="5"/>
  <c r="Q60" i="5"/>
  <c r="Q61" i="5"/>
  <c r="Q62" i="5"/>
  <c r="Q63" i="5"/>
  <c r="Q64" i="5"/>
  <c r="Q65" i="5"/>
  <c r="Q66" i="5"/>
  <c r="Q67" i="5"/>
  <c r="Q68" i="5"/>
  <c r="Q69" i="5"/>
  <c r="Q70" i="5"/>
  <c r="Q71" i="5"/>
  <c r="W2" i="2"/>
  <c r="U3" i="4"/>
  <c r="V3" i="4"/>
  <c r="W3" i="4"/>
  <c r="U4" i="4"/>
  <c r="V4" i="4"/>
  <c r="W4" i="4"/>
  <c r="U5" i="4"/>
  <c r="V5" i="4"/>
  <c r="W5" i="4"/>
  <c r="U6" i="4"/>
  <c r="V6" i="4"/>
  <c r="W6" i="4"/>
  <c r="U7" i="4"/>
  <c r="V7" i="4"/>
  <c r="W7" i="4"/>
  <c r="U8" i="4"/>
  <c r="V8" i="4"/>
  <c r="W8" i="4"/>
  <c r="U9" i="4"/>
  <c r="V9" i="4"/>
  <c r="W9" i="4"/>
  <c r="U10" i="4"/>
  <c r="V10" i="4"/>
  <c r="W10" i="4"/>
  <c r="U11" i="4"/>
  <c r="V11" i="4"/>
  <c r="W11" i="4"/>
  <c r="U12" i="4"/>
  <c r="V12" i="4"/>
  <c r="W12" i="4"/>
  <c r="U13" i="4"/>
  <c r="V13" i="4"/>
  <c r="W13" i="4"/>
  <c r="U14" i="4"/>
  <c r="V14" i="4"/>
  <c r="W14" i="4"/>
  <c r="U15" i="4"/>
  <c r="V15" i="4"/>
  <c r="W15" i="4"/>
  <c r="U16" i="4"/>
  <c r="V16" i="4"/>
  <c r="W16" i="4"/>
  <c r="U17" i="4"/>
  <c r="V17" i="4"/>
  <c r="W17" i="4"/>
  <c r="U18" i="4"/>
  <c r="V18" i="4"/>
  <c r="W18" i="4"/>
  <c r="U19" i="4"/>
  <c r="V19" i="4"/>
  <c r="W19" i="4"/>
  <c r="U20" i="4"/>
  <c r="V20" i="4"/>
  <c r="W20" i="4"/>
  <c r="U21" i="4"/>
  <c r="V21" i="4"/>
  <c r="W21" i="4"/>
  <c r="U22" i="4"/>
  <c r="V22" i="4"/>
  <c r="W22" i="4"/>
  <c r="U23" i="4"/>
  <c r="V23" i="4"/>
  <c r="W23" i="4"/>
  <c r="U24" i="4"/>
  <c r="V24" i="4"/>
  <c r="W24" i="4"/>
  <c r="U25" i="4"/>
  <c r="V25" i="4"/>
  <c r="W25" i="4"/>
  <c r="U26" i="4"/>
  <c r="V26" i="4"/>
  <c r="W26" i="4"/>
  <c r="U27" i="4"/>
  <c r="V27" i="4"/>
  <c r="W27" i="4"/>
  <c r="U28" i="4"/>
  <c r="V28" i="4"/>
  <c r="W28" i="4"/>
  <c r="U29" i="4"/>
  <c r="V29" i="4"/>
  <c r="W29" i="4"/>
  <c r="U30" i="4"/>
  <c r="V30" i="4"/>
  <c r="W30" i="4"/>
  <c r="U31" i="4"/>
  <c r="V31" i="4"/>
  <c r="W31" i="4"/>
  <c r="U32" i="4"/>
  <c r="V32" i="4"/>
  <c r="W32" i="4"/>
  <c r="U33" i="4"/>
  <c r="V33" i="4"/>
  <c r="W33" i="4"/>
  <c r="U34" i="4"/>
  <c r="V34" i="4"/>
  <c r="W34" i="4"/>
  <c r="U35" i="4"/>
  <c r="V35" i="4"/>
  <c r="W35" i="4"/>
  <c r="U36" i="4"/>
  <c r="V36" i="4"/>
  <c r="W36" i="4"/>
  <c r="U37" i="4"/>
  <c r="V37" i="4"/>
  <c r="W37" i="4"/>
  <c r="U38" i="4"/>
  <c r="V38" i="4"/>
  <c r="W38" i="4"/>
  <c r="U39" i="4"/>
  <c r="V39" i="4"/>
  <c r="W39" i="4"/>
  <c r="U40" i="4"/>
  <c r="V40" i="4"/>
  <c r="W40" i="4"/>
  <c r="U41" i="4"/>
  <c r="V41" i="4"/>
  <c r="W41" i="4"/>
  <c r="U42" i="4"/>
  <c r="V42" i="4"/>
  <c r="W42" i="4"/>
  <c r="U43" i="4"/>
  <c r="V43" i="4"/>
  <c r="W43" i="4"/>
  <c r="U44" i="4"/>
  <c r="V44" i="4"/>
  <c r="W44" i="4"/>
  <c r="U45" i="4"/>
  <c r="V45" i="4"/>
  <c r="W45" i="4"/>
  <c r="U46" i="4"/>
  <c r="V46" i="4"/>
  <c r="W46" i="4"/>
  <c r="U47" i="4"/>
  <c r="V47" i="4"/>
  <c r="W47" i="4"/>
  <c r="U48" i="4"/>
  <c r="V48" i="4"/>
  <c r="W48" i="4"/>
  <c r="U49" i="4"/>
  <c r="V49" i="4"/>
  <c r="W49" i="4"/>
  <c r="U50" i="4"/>
  <c r="V50" i="4"/>
  <c r="W50" i="4"/>
  <c r="U51" i="4"/>
  <c r="V51" i="4"/>
  <c r="W51" i="4"/>
  <c r="U52" i="4"/>
  <c r="V52" i="4"/>
  <c r="W52" i="4"/>
  <c r="U53" i="4"/>
  <c r="V53" i="4"/>
  <c r="W53" i="4"/>
  <c r="U54" i="4"/>
  <c r="V54" i="4"/>
  <c r="W54" i="4"/>
  <c r="U55" i="4"/>
  <c r="V55" i="4"/>
  <c r="W55" i="4"/>
  <c r="U56" i="4"/>
  <c r="V56" i="4"/>
  <c r="W56" i="4"/>
  <c r="U57" i="4"/>
  <c r="V57" i="4"/>
  <c r="W57" i="4"/>
  <c r="U58" i="4"/>
  <c r="V58" i="4"/>
  <c r="W58" i="4"/>
  <c r="U59" i="4"/>
  <c r="V59" i="4"/>
  <c r="W59" i="4"/>
  <c r="U60" i="4"/>
  <c r="V60" i="4"/>
  <c r="W60" i="4"/>
  <c r="U61" i="4"/>
  <c r="V61" i="4"/>
  <c r="W61" i="4"/>
  <c r="U62" i="4"/>
  <c r="V62" i="4"/>
  <c r="W62" i="4"/>
  <c r="U63" i="4"/>
  <c r="V63" i="4"/>
  <c r="W63" i="4"/>
  <c r="U64" i="4"/>
  <c r="V64" i="4"/>
  <c r="W64" i="4"/>
  <c r="U65" i="4"/>
  <c r="V65" i="4"/>
  <c r="W65" i="4"/>
  <c r="U66" i="4"/>
  <c r="V66" i="4"/>
  <c r="W66" i="4"/>
  <c r="U67" i="4"/>
  <c r="V67" i="4"/>
  <c r="W67" i="4"/>
  <c r="U68" i="4"/>
  <c r="V68" i="4"/>
  <c r="W68" i="4"/>
  <c r="U69" i="4"/>
  <c r="V69" i="4"/>
  <c r="W69" i="4"/>
  <c r="U70" i="4"/>
  <c r="V70" i="4"/>
  <c r="W70" i="4"/>
  <c r="U71" i="4"/>
  <c r="V71" i="4"/>
  <c r="W71" i="4"/>
  <c r="W2" i="4"/>
  <c r="V2" i="4"/>
  <c r="U2" i="4"/>
  <c r="T1" i="4" a="1"/>
  <c r="T1" i="4" s="1"/>
  <c r="U3" i="1"/>
  <c r="V3" i="1"/>
  <c r="W3" i="1"/>
  <c r="U4" i="1"/>
  <c r="V4" i="1"/>
  <c r="W4" i="1"/>
  <c r="U5" i="1"/>
  <c r="V5" i="1"/>
  <c r="W5" i="1"/>
  <c r="U6" i="1"/>
  <c r="V6" i="1"/>
  <c r="W6" i="1"/>
  <c r="U7" i="1"/>
  <c r="V7" i="1"/>
  <c r="W7" i="1"/>
  <c r="U8" i="1"/>
  <c r="V8" i="1"/>
  <c r="W8" i="1"/>
  <c r="U9" i="1"/>
  <c r="V9" i="1"/>
  <c r="W9" i="1"/>
  <c r="U10" i="1"/>
  <c r="V10" i="1"/>
  <c r="W10" i="1"/>
  <c r="U11" i="1"/>
  <c r="V11" i="1"/>
  <c r="W11" i="1"/>
  <c r="U12" i="1"/>
  <c r="V12" i="1"/>
  <c r="W12" i="1"/>
  <c r="U13" i="1"/>
  <c r="V13" i="1"/>
  <c r="W13" i="1"/>
  <c r="U14" i="1"/>
  <c r="V14" i="1"/>
  <c r="W14" i="1"/>
  <c r="U15" i="1"/>
  <c r="V15" i="1"/>
  <c r="W15" i="1"/>
  <c r="U16" i="1"/>
  <c r="V16" i="1"/>
  <c r="W16" i="1"/>
  <c r="U17" i="1"/>
  <c r="V17" i="1"/>
  <c r="W17" i="1"/>
  <c r="U18" i="1"/>
  <c r="V18" i="1"/>
  <c r="W18" i="1"/>
  <c r="U19" i="1"/>
  <c r="V19" i="1"/>
  <c r="W19" i="1"/>
  <c r="U20" i="1"/>
  <c r="V20" i="1"/>
  <c r="W20" i="1"/>
  <c r="U21" i="1"/>
  <c r="V21" i="1"/>
  <c r="W21" i="1"/>
  <c r="U22" i="1"/>
  <c r="V22" i="1"/>
  <c r="W22" i="1"/>
  <c r="U23" i="1"/>
  <c r="V23" i="1"/>
  <c r="W23" i="1"/>
  <c r="U24" i="1"/>
  <c r="V24" i="1"/>
  <c r="W24" i="1"/>
  <c r="U25" i="1"/>
  <c r="V25" i="1"/>
  <c r="W25" i="1"/>
  <c r="U26" i="1"/>
  <c r="V26" i="1"/>
  <c r="W26" i="1"/>
  <c r="U27" i="1"/>
  <c r="V27" i="1"/>
  <c r="W27" i="1"/>
  <c r="U28" i="1"/>
  <c r="V28" i="1"/>
  <c r="W28" i="1"/>
  <c r="U29" i="1"/>
  <c r="V29" i="1"/>
  <c r="W29" i="1"/>
  <c r="U30" i="1"/>
  <c r="V30" i="1"/>
  <c r="W30" i="1"/>
  <c r="U31" i="1"/>
  <c r="V31" i="1"/>
  <c r="W31" i="1"/>
  <c r="U32" i="1"/>
  <c r="V32" i="1"/>
  <c r="W32" i="1"/>
  <c r="U33" i="1"/>
  <c r="V33" i="1"/>
  <c r="W33" i="1"/>
  <c r="U34" i="1"/>
  <c r="V34" i="1"/>
  <c r="W34" i="1"/>
  <c r="U35" i="1"/>
  <c r="V35" i="1"/>
  <c r="W35" i="1"/>
  <c r="U36" i="1"/>
  <c r="V36" i="1"/>
  <c r="W36" i="1"/>
  <c r="U37" i="1"/>
  <c r="V37" i="1"/>
  <c r="W37" i="1"/>
  <c r="U38" i="1"/>
  <c r="V38" i="1"/>
  <c r="W38" i="1"/>
  <c r="U39" i="1"/>
  <c r="V39" i="1"/>
  <c r="W39" i="1"/>
  <c r="U40" i="1"/>
  <c r="V40" i="1"/>
  <c r="W40" i="1"/>
  <c r="U41" i="1"/>
  <c r="V41" i="1"/>
  <c r="W41" i="1"/>
  <c r="U42" i="1"/>
  <c r="V42" i="1"/>
  <c r="W42" i="1"/>
  <c r="U43" i="1"/>
  <c r="V43" i="1"/>
  <c r="W43" i="1"/>
  <c r="U44" i="1"/>
  <c r="V44" i="1"/>
  <c r="W44" i="1"/>
  <c r="U45" i="1"/>
  <c r="V45" i="1"/>
  <c r="W45" i="1"/>
  <c r="U46" i="1"/>
  <c r="V46" i="1"/>
  <c r="W46" i="1"/>
  <c r="U47" i="1"/>
  <c r="V47" i="1"/>
  <c r="W47" i="1"/>
  <c r="U48" i="1"/>
  <c r="V48" i="1"/>
  <c r="W48" i="1"/>
  <c r="U49" i="1"/>
  <c r="V49" i="1"/>
  <c r="W49" i="1"/>
  <c r="U50" i="1"/>
  <c r="V50" i="1"/>
  <c r="W50" i="1"/>
  <c r="U51" i="1"/>
  <c r="V51" i="1"/>
  <c r="W51" i="1"/>
  <c r="U52" i="1"/>
  <c r="V52" i="1"/>
  <c r="W52" i="1"/>
  <c r="U53" i="1"/>
  <c r="V53" i="1"/>
  <c r="W53" i="1"/>
  <c r="U54" i="1"/>
  <c r="V54" i="1"/>
  <c r="W54" i="1"/>
  <c r="U55" i="1"/>
  <c r="V55" i="1"/>
  <c r="W55" i="1"/>
  <c r="U56" i="1"/>
  <c r="V56" i="1"/>
  <c r="W56" i="1"/>
  <c r="U57" i="1"/>
  <c r="V57" i="1"/>
  <c r="W57" i="1"/>
  <c r="U58" i="1"/>
  <c r="V58" i="1"/>
  <c r="W58" i="1"/>
  <c r="U59" i="1"/>
  <c r="V59" i="1"/>
  <c r="W59" i="1"/>
  <c r="U60" i="1"/>
  <c r="V60" i="1"/>
  <c r="W60" i="1"/>
  <c r="U61" i="1"/>
  <c r="V61" i="1"/>
  <c r="W61" i="1"/>
  <c r="U62" i="1"/>
  <c r="V62" i="1"/>
  <c r="W62" i="1"/>
  <c r="U63" i="1"/>
  <c r="V63" i="1"/>
  <c r="W63" i="1"/>
  <c r="U64" i="1"/>
  <c r="V64" i="1"/>
  <c r="W64" i="1"/>
  <c r="U65" i="1"/>
  <c r="V65" i="1"/>
  <c r="W65" i="1"/>
  <c r="U66" i="1"/>
  <c r="V66" i="1"/>
  <c r="W66" i="1"/>
  <c r="U67" i="1"/>
  <c r="V67" i="1"/>
  <c r="W67" i="1"/>
  <c r="U68" i="1"/>
  <c r="V68" i="1"/>
  <c r="W68" i="1"/>
  <c r="U69" i="1"/>
  <c r="V69" i="1"/>
  <c r="W69" i="1"/>
  <c r="U70" i="1"/>
  <c r="V70" i="1"/>
  <c r="W70" i="1"/>
  <c r="U71" i="1"/>
  <c r="V71" i="1"/>
  <c r="W71" i="1"/>
  <c r="W2" i="1"/>
  <c r="V2" i="1"/>
  <c r="U2" i="1"/>
  <c r="T1" i="1" a="1"/>
  <c r="T1" i="1" s="1"/>
  <c r="U3" i="2"/>
  <c r="V3" i="2"/>
  <c r="W3" i="2"/>
  <c r="U4" i="2"/>
  <c r="V4" i="2"/>
  <c r="W4" i="2"/>
  <c r="U5" i="2"/>
  <c r="V5" i="2"/>
  <c r="W5" i="2"/>
  <c r="U6" i="2"/>
  <c r="V6" i="2"/>
  <c r="W6" i="2"/>
  <c r="U7" i="2"/>
  <c r="V7" i="2"/>
  <c r="W7" i="2"/>
  <c r="U8" i="2"/>
  <c r="V8" i="2"/>
  <c r="W8" i="2"/>
  <c r="U9" i="2"/>
  <c r="V9" i="2"/>
  <c r="W9" i="2"/>
  <c r="U10" i="2"/>
  <c r="V10" i="2"/>
  <c r="W10" i="2"/>
  <c r="U11" i="2"/>
  <c r="V11" i="2"/>
  <c r="W11" i="2"/>
  <c r="U12" i="2"/>
  <c r="V12" i="2"/>
  <c r="W12" i="2"/>
  <c r="U13" i="2"/>
  <c r="V13" i="2"/>
  <c r="W13" i="2"/>
  <c r="U14" i="2"/>
  <c r="V14" i="2"/>
  <c r="W14" i="2"/>
  <c r="U15" i="2"/>
  <c r="V15" i="2"/>
  <c r="W15" i="2"/>
  <c r="U16" i="2"/>
  <c r="V16" i="2"/>
  <c r="W16" i="2"/>
  <c r="U17" i="2"/>
  <c r="V17" i="2"/>
  <c r="W17" i="2"/>
  <c r="U18" i="2"/>
  <c r="V18" i="2"/>
  <c r="W18" i="2"/>
  <c r="U19" i="2"/>
  <c r="V19" i="2"/>
  <c r="W19" i="2"/>
  <c r="U20" i="2"/>
  <c r="V20" i="2"/>
  <c r="W20" i="2"/>
  <c r="U21" i="2"/>
  <c r="V21" i="2"/>
  <c r="W21" i="2"/>
  <c r="U22" i="2"/>
  <c r="V22" i="2"/>
  <c r="W22" i="2"/>
  <c r="U23" i="2"/>
  <c r="V23" i="2"/>
  <c r="W23" i="2"/>
  <c r="U24" i="2"/>
  <c r="V24" i="2"/>
  <c r="W24" i="2"/>
  <c r="U25" i="2"/>
  <c r="V25" i="2"/>
  <c r="W25" i="2"/>
  <c r="U26" i="2"/>
  <c r="V26" i="2"/>
  <c r="W26" i="2"/>
  <c r="U27" i="2"/>
  <c r="V27" i="2"/>
  <c r="W27" i="2"/>
  <c r="U28" i="2"/>
  <c r="V28" i="2"/>
  <c r="W28" i="2"/>
  <c r="U29" i="2"/>
  <c r="V29" i="2"/>
  <c r="W29" i="2"/>
  <c r="U30" i="2"/>
  <c r="V30" i="2"/>
  <c r="W30" i="2"/>
  <c r="U31" i="2"/>
  <c r="V31" i="2"/>
  <c r="W31" i="2"/>
  <c r="U32" i="2"/>
  <c r="V32" i="2"/>
  <c r="W32" i="2"/>
  <c r="U33" i="2"/>
  <c r="V33" i="2"/>
  <c r="W33" i="2"/>
  <c r="U34" i="2"/>
  <c r="V34" i="2"/>
  <c r="W34" i="2"/>
  <c r="U35" i="2"/>
  <c r="V35" i="2"/>
  <c r="W35" i="2"/>
  <c r="U36" i="2"/>
  <c r="V36" i="2"/>
  <c r="W36" i="2"/>
  <c r="U37" i="2"/>
  <c r="V37" i="2"/>
  <c r="W37" i="2"/>
  <c r="U38" i="2"/>
  <c r="V38" i="2"/>
  <c r="W38" i="2"/>
  <c r="U39" i="2"/>
  <c r="V39" i="2"/>
  <c r="W39" i="2"/>
  <c r="U40" i="2"/>
  <c r="V40" i="2"/>
  <c r="W40" i="2"/>
  <c r="U41" i="2"/>
  <c r="V41" i="2"/>
  <c r="W41" i="2"/>
  <c r="U42" i="2"/>
  <c r="V42" i="2"/>
  <c r="W42" i="2"/>
  <c r="U43" i="2"/>
  <c r="V43" i="2"/>
  <c r="W43" i="2"/>
  <c r="U44" i="2"/>
  <c r="V44" i="2"/>
  <c r="W44" i="2"/>
  <c r="U45" i="2"/>
  <c r="V45" i="2"/>
  <c r="W45" i="2"/>
  <c r="U46" i="2"/>
  <c r="V46" i="2"/>
  <c r="W46" i="2"/>
  <c r="U47" i="2"/>
  <c r="V47" i="2"/>
  <c r="W47" i="2"/>
  <c r="U48" i="2"/>
  <c r="V48" i="2"/>
  <c r="W48" i="2"/>
  <c r="U49" i="2"/>
  <c r="V49" i="2"/>
  <c r="W49" i="2"/>
  <c r="U50" i="2"/>
  <c r="V50" i="2"/>
  <c r="W50" i="2"/>
  <c r="U51" i="2"/>
  <c r="V51" i="2"/>
  <c r="W51" i="2"/>
  <c r="U52" i="2"/>
  <c r="V52" i="2"/>
  <c r="W52" i="2"/>
  <c r="U53" i="2"/>
  <c r="V53" i="2"/>
  <c r="W53" i="2"/>
  <c r="U54" i="2"/>
  <c r="V54" i="2"/>
  <c r="W54" i="2"/>
  <c r="U55" i="2"/>
  <c r="V55" i="2"/>
  <c r="W55" i="2"/>
  <c r="U56" i="2"/>
  <c r="V56" i="2"/>
  <c r="W56" i="2"/>
  <c r="U57" i="2"/>
  <c r="V57" i="2"/>
  <c r="W57" i="2"/>
  <c r="U58" i="2"/>
  <c r="V58" i="2"/>
  <c r="W58" i="2"/>
  <c r="U59" i="2"/>
  <c r="V59" i="2"/>
  <c r="W59" i="2"/>
  <c r="U60" i="2"/>
  <c r="V60" i="2"/>
  <c r="W60" i="2"/>
  <c r="U61" i="2"/>
  <c r="V61" i="2"/>
  <c r="W61" i="2"/>
  <c r="U62" i="2"/>
  <c r="V62" i="2"/>
  <c r="W62" i="2"/>
  <c r="U63" i="2"/>
  <c r="V63" i="2"/>
  <c r="W63" i="2"/>
  <c r="U64" i="2"/>
  <c r="V64" i="2"/>
  <c r="W64" i="2"/>
  <c r="U65" i="2"/>
  <c r="V65" i="2"/>
  <c r="W65" i="2"/>
  <c r="U66" i="2"/>
  <c r="V66" i="2"/>
  <c r="W66" i="2"/>
  <c r="U67" i="2"/>
  <c r="V67" i="2"/>
  <c r="W67" i="2"/>
  <c r="U68" i="2"/>
  <c r="V68" i="2"/>
  <c r="W68" i="2"/>
  <c r="U69" i="2"/>
  <c r="V69" i="2"/>
  <c r="W69" i="2"/>
  <c r="U70" i="2"/>
  <c r="V70" i="2"/>
  <c r="W70" i="2"/>
  <c r="U71" i="2"/>
  <c r="V71" i="2"/>
  <c r="W71" i="2"/>
  <c r="V2" i="2"/>
  <c r="U2" i="2"/>
  <c r="T1" i="2" a="1"/>
  <c r="T1" i="2" s="1"/>
  <c r="AA3" i="3"/>
  <c r="AB3" i="3"/>
  <c r="AA4" i="3"/>
  <c r="AB4" i="3"/>
  <c r="AA5" i="3"/>
  <c r="AB5" i="3"/>
  <c r="AA6" i="3"/>
  <c r="AB6" i="3"/>
  <c r="AA7" i="3"/>
  <c r="AB7" i="3"/>
  <c r="AA8" i="3"/>
  <c r="AB8" i="3"/>
  <c r="AA9" i="3"/>
  <c r="AB9" i="3"/>
  <c r="AA10" i="3"/>
  <c r="AB10" i="3"/>
  <c r="AA11" i="3"/>
  <c r="AB11" i="3"/>
  <c r="AA12" i="3"/>
  <c r="AB12" i="3"/>
  <c r="AA13" i="3"/>
  <c r="AB13" i="3"/>
  <c r="AA14" i="3"/>
  <c r="AB14" i="3"/>
  <c r="AA15" i="3"/>
  <c r="AB15" i="3"/>
  <c r="AA16" i="3"/>
  <c r="AB16" i="3"/>
  <c r="AA17" i="3"/>
  <c r="AB17" i="3"/>
  <c r="AA18" i="3"/>
  <c r="AB18" i="3"/>
  <c r="AA19" i="3"/>
  <c r="AB19" i="3"/>
  <c r="AA20" i="3"/>
  <c r="AB20" i="3"/>
  <c r="AA21" i="3"/>
  <c r="AB21" i="3"/>
  <c r="AA22" i="3"/>
  <c r="AB22" i="3"/>
  <c r="AA23" i="3"/>
  <c r="AB23" i="3"/>
  <c r="AA24" i="3"/>
  <c r="AB24" i="3"/>
  <c r="AA25" i="3"/>
  <c r="AB25" i="3"/>
  <c r="AA26" i="3"/>
  <c r="AB26" i="3"/>
  <c r="AA27" i="3"/>
  <c r="AB27" i="3"/>
  <c r="AA28" i="3"/>
  <c r="AB28" i="3"/>
  <c r="AA29" i="3"/>
  <c r="AB29" i="3"/>
  <c r="AA30" i="3"/>
  <c r="AB30" i="3"/>
  <c r="AA31" i="3"/>
  <c r="AB31" i="3"/>
  <c r="AA32" i="3"/>
  <c r="AB32" i="3"/>
  <c r="AA33" i="3"/>
  <c r="AB33" i="3"/>
  <c r="AA34" i="3"/>
  <c r="AB34" i="3"/>
  <c r="AA35" i="3"/>
  <c r="AB35" i="3"/>
  <c r="AA36" i="3"/>
  <c r="AB36" i="3"/>
  <c r="AA37" i="3"/>
  <c r="AB37" i="3"/>
  <c r="AA38" i="3"/>
  <c r="AB38" i="3"/>
  <c r="AA39" i="3"/>
  <c r="AB39" i="3"/>
  <c r="AA40" i="3"/>
  <c r="AB40" i="3"/>
  <c r="AA41" i="3"/>
  <c r="AB41" i="3"/>
  <c r="AA42" i="3"/>
  <c r="AB42" i="3"/>
  <c r="AA43" i="3"/>
  <c r="AB43" i="3"/>
  <c r="AA44" i="3"/>
  <c r="AB44" i="3"/>
  <c r="AA45" i="3"/>
  <c r="AB45" i="3"/>
  <c r="AA46" i="3"/>
  <c r="AB46" i="3"/>
  <c r="AA47" i="3"/>
  <c r="AB47" i="3"/>
  <c r="AA48" i="3"/>
  <c r="AB48" i="3"/>
  <c r="AA49" i="3"/>
  <c r="AB49" i="3"/>
  <c r="AA50" i="3"/>
  <c r="AB50" i="3"/>
  <c r="AA51" i="3"/>
  <c r="AB51" i="3"/>
  <c r="AA52" i="3"/>
  <c r="AB52" i="3"/>
  <c r="AA53" i="3"/>
  <c r="AB53" i="3"/>
  <c r="AA54" i="3"/>
  <c r="AB54" i="3"/>
  <c r="AA55" i="3"/>
  <c r="AB55" i="3"/>
  <c r="AA56" i="3"/>
  <c r="AB56" i="3"/>
  <c r="AA57" i="3"/>
  <c r="AB57" i="3"/>
  <c r="AA58" i="3"/>
  <c r="AB58" i="3"/>
  <c r="AA59" i="3"/>
  <c r="AB59" i="3"/>
  <c r="AA60" i="3"/>
  <c r="AB60" i="3"/>
  <c r="AA61" i="3"/>
  <c r="AB61" i="3"/>
  <c r="AA62" i="3"/>
  <c r="AB62" i="3"/>
  <c r="AA63" i="3"/>
  <c r="AB63" i="3"/>
  <c r="AA64" i="3"/>
  <c r="AB64" i="3"/>
  <c r="AA65" i="3"/>
  <c r="AB65" i="3"/>
  <c r="AA66" i="3"/>
  <c r="AB66" i="3"/>
  <c r="AA67" i="3"/>
  <c r="AB67" i="3"/>
  <c r="AA68" i="3"/>
  <c r="AB68" i="3"/>
  <c r="AA69" i="3"/>
  <c r="AB69" i="3"/>
  <c r="AA70" i="3"/>
  <c r="AB70" i="3"/>
  <c r="AA71" i="3"/>
  <c r="AB71" i="3"/>
  <c r="AA2" i="3"/>
  <c r="Z3" i="3"/>
  <c r="Z4" i="3"/>
  <c r="Z5" i="3"/>
  <c r="Z6" i="3"/>
  <c r="Z7" i="3"/>
  <c r="Z8" i="3"/>
  <c r="Z9" i="3"/>
  <c r="Z10" i="3"/>
  <c r="Z11" i="3"/>
  <c r="Z12" i="3"/>
  <c r="Z13" i="3"/>
  <c r="Z14" i="3"/>
  <c r="Z15" i="3"/>
  <c r="Z16" i="3"/>
  <c r="Z17" i="3"/>
  <c r="Z18" i="3"/>
  <c r="Z19" i="3"/>
  <c r="Z20" i="3"/>
  <c r="Z21" i="3"/>
  <c r="Z22" i="3"/>
  <c r="Z23" i="3"/>
  <c r="Z24" i="3"/>
  <c r="Z25" i="3"/>
  <c r="Z26" i="3"/>
  <c r="Z27" i="3"/>
  <c r="Z28" i="3"/>
  <c r="Z29" i="3"/>
  <c r="Z30" i="3"/>
  <c r="Z31" i="3"/>
  <c r="Z32" i="3"/>
  <c r="Z33" i="3"/>
  <c r="Z34" i="3"/>
  <c r="Z35" i="3"/>
  <c r="Z36" i="3"/>
  <c r="Z37" i="3"/>
  <c r="Z38" i="3"/>
  <c r="Z39" i="3"/>
  <c r="Z40" i="3"/>
  <c r="Z41" i="3"/>
  <c r="Z42" i="3"/>
  <c r="Z43" i="3"/>
  <c r="Z44" i="3"/>
  <c r="Z45" i="3"/>
  <c r="Z46" i="3"/>
  <c r="Z47" i="3"/>
  <c r="Z48" i="3"/>
  <c r="Z49" i="3"/>
  <c r="Z50" i="3"/>
  <c r="Z51" i="3"/>
  <c r="Z52" i="3"/>
  <c r="Z53" i="3"/>
  <c r="Z54" i="3"/>
  <c r="Z55" i="3"/>
  <c r="Z56" i="3"/>
  <c r="Z57" i="3"/>
  <c r="Z58" i="3"/>
  <c r="Z59" i="3"/>
  <c r="Z60" i="3"/>
  <c r="Z61" i="3"/>
  <c r="Z62" i="3"/>
  <c r="Z63" i="3"/>
  <c r="Z64" i="3"/>
  <c r="Z65" i="3"/>
  <c r="Z66" i="3"/>
  <c r="Z67" i="3"/>
  <c r="Z68" i="3"/>
  <c r="Z69" i="3"/>
  <c r="Z70" i="3"/>
  <c r="Z71" i="3"/>
  <c r="Z2" i="3"/>
  <c r="Y1" i="3" a="1"/>
  <c r="Y1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<sst xmlns="http://schemas.openxmlformats.org/spreadsheetml/2006/main" count="398" uniqueCount="118">
  <si>
    <t>NOTE</t>
  </si>
  <si>
    <t>This excel workbook provides Se-PS-NPs data analysis for DLS</t>
  </si>
  <si>
    <t>1- Raw size data are included in "0.25 size, 0.7 size, 2.7 size"</t>
  </si>
  <si>
    <t>2-Concentrations data are included in "0.25 conc, 0.7 conc, 2.3 conc" with plot which includes NTA and DLS data for Figure S8c</t>
  </si>
  <si>
    <t>"Summary" provides the plot for Figure S8b</t>
  </si>
  <si>
    <t>Size (d.nm) - 0.5E_S2_2xCen_20250514 [Steady state]</t>
  </si>
  <si>
    <t>0.3R1</t>
  </si>
  <si>
    <t>0.3R2</t>
  </si>
  <si>
    <t>0.3R3</t>
  </si>
  <si>
    <t>1R1</t>
  </si>
  <si>
    <t>1R2</t>
  </si>
  <si>
    <t>1R3</t>
  </si>
  <si>
    <t>3R1</t>
  </si>
  <si>
    <t>3R2</t>
  </si>
  <si>
    <t>3R3</t>
  </si>
  <si>
    <t>0.3% w/w</t>
  </si>
  <si>
    <t>0.7% w/w</t>
  </si>
  <si>
    <t>2.3% w/w</t>
  </si>
  <si>
    <t>Size</t>
  </si>
  <si>
    <t>stdev</t>
  </si>
  <si>
    <t>Model</t>
  </si>
  <si>
    <t>R1</t>
  </si>
  <si>
    <t>R2</t>
  </si>
  <si>
    <t>R3</t>
  </si>
  <si>
    <t>NTA</t>
  </si>
  <si>
    <t>DLS</t>
  </si>
  <si>
    <t>Size (nm)</t>
  </si>
  <si>
    <t>Con</t>
  </si>
  <si>
    <t>Con stdev</t>
  </si>
  <si>
    <t>Z-average (nm)</t>
  </si>
  <si>
    <t>Size 0.5</t>
  </si>
  <si>
    <t>Reorganized 0.5</t>
  </si>
  <si>
    <t>Reorg 0.7</t>
  </si>
  <si>
    <t>reorg 2.3</t>
  </si>
  <si>
    <t>0R1</t>
  </si>
  <si>
    <t>0R2</t>
  </si>
  <si>
    <t>0R3</t>
  </si>
  <si>
    <t>0.5R1</t>
  </si>
  <si>
    <t>0.5R2</t>
  </si>
  <si>
    <t>Size 1</t>
  </si>
  <si>
    <t>0.5R3</t>
  </si>
  <si>
    <t>Size 2.3</t>
  </si>
  <si>
    <t>t-Test: Two-Sample Assuming Unequal Variances</t>
  </si>
  <si>
    <t>Variable 1</t>
  </si>
  <si>
    <t>Variable 2</t>
  </si>
  <si>
    <t>t-Test: Paired Two Sample for Means</t>
  </si>
  <si>
    <t>Mean</t>
  </si>
  <si>
    <t>Variance</t>
  </si>
  <si>
    <t>Observations</t>
  </si>
  <si>
    <t>Hypothesized Mean Difference</t>
  </si>
  <si>
    <t>df</t>
  </si>
  <si>
    <t>t Stat</t>
  </si>
  <si>
    <t>Pearson Correlation</t>
  </si>
  <si>
    <t>P(T&lt;=t) one-tail</t>
  </si>
  <si>
    <t>t Critical one-tail</t>
  </si>
  <si>
    <t>P(T&lt;=t) two-tail</t>
  </si>
  <si>
    <t>t Critical two-tail</t>
  </si>
  <si>
    <t>Size (d.nm) - 0B_S1_2xCen_20250516_isolated [Steady state]</t>
  </si>
  <si>
    <t>Intensity (Percent) - 0B_S1_2xCen_20250516_isolated [Steady state]</t>
  </si>
  <si>
    <t>Size (d.nm) - 0C_S1_2xCen_20250519 [Steady state]</t>
  </si>
  <si>
    <t>Intensity (Percent) - 0C_S1_2xCen_20250519 [Steady state]</t>
  </si>
  <si>
    <t>Size (d.nm) - 0D_S1_2xCen_20250519 [Steady state]</t>
  </si>
  <si>
    <t>Intensity (Percent) - 0D_S1_2xCen_20250519 [Steady state]</t>
  </si>
  <si>
    <t>Overlay</t>
  </si>
  <si>
    <t>NTA Conc</t>
  </si>
  <si>
    <t>Name</t>
  </si>
  <si>
    <t>Standard Deviation</t>
  </si>
  <si>
    <t>RSD</t>
  </si>
  <si>
    <t>Minimum</t>
  </si>
  <si>
    <t>Maximum</t>
  </si>
  <si>
    <t>R1_DLS</t>
  </si>
  <si>
    <t>Total Number Concentration (particles/ml)</t>
  </si>
  <si>
    <t>R1_NTA</t>
  </si>
  <si>
    <t xml:space="preserve">Particle Concentration Peak One (particles/ml) </t>
  </si>
  <si>
    <t xml:space="preserve"> </t>
  </si>
  <si>
    <t xml:space="preserve">Particle Concentration Peak Two (particles/ml) </t>
  </si>
  <si>
    <t>R2_DLS</t>
  </si>
  <si>
    <t>Size Concentration Peak One</t>
  </si>
  <si>
    <t>R2_NTA</t>
  </si>
  <si>
    <t>Size Concentration Peak Two</t>
  </si>
  <si>
    <t>R3_DLS</t>
  </si>
  <si>
    <t>R3_NTA</t>
  </si>
  <si>
    <t>0.7R1</t>
  </si>
  <si>
    <t xml:space="preserve"> Total Number Concentration (particles/ml)</t>
  </si>
  <si>
    <t>Particle Concentration Peak One (particles/ml)</t>
  </si>
  <si>
    <t>0.7R2</t>
  </si>
  <si>
    <t>0.7R3</t>
  </si>
  <si>
    <t>0.7R1_NTA</t>
  </si>
  <si>
    <t>0.7R2_NTA</t>
  </si>
  <si>
    <t>0.7R3_NTA</t>
  </si>
  <si>
    <t>2.3R1</t>
  </si>
  <si>
    <t>2.3R2</t>
  </si>
  <si>
    <t>2.3R3</t>
  </si>
  <si>
    <t>overlay</t>
  </si>
  <si>
    <t>Intensity (Percent) - 0.5E_S2_2xCen_20250514 [Steady state]</t>
  </si>
  <si>
    <t>Size (d.nm) - 0.5F_S2_2xCen_20250514 [Steady state]</t>
  </si>
  <si>
    <t>Intensity (Percent) - 0.5F_S2_2xCen_20250514 [Steady state]</t>
  </si>
  <si>
    <t>Size (d.nm) - 0.5E(2)_S1_2xCen_20250519 [Steady state]</t>
  </si>
  <si>
    <t>Intensity (Percent) - 0.5E(2)_S1_2xCen_20250519 [Steady state]</t>
  </si>
  <si>
    <t>S1</t>
  </si>
  <si>
    <t>S2</t>
  </si>
  <si>
    <t>S3</t>
  </si>
  <si>
    <t>Z-Average (nm)</t>
  </si>
  <si>
    <t>Polydispersity Index (PI)</t>
  </si>
  <si>
    <t>Peak One Mean by Intensity (nm)</t>
  </si>
  <si>
    <t>Peak One Area by Intensity (%)</t>
  </si>
  <si>
    <t>Size (d.nm) - 1G_S1_2xCen_20250516_true [Steady state]</t>
  </si>
  <si>
    <t>Intensity (Percent) - 1G_S1_2xCen_20250516_true [Steady state]</t>
  </si>
  <si>
    <t>Size (d.nm) - 1H_S2_2xCen_20250514 [Steady state]</t>
  </si>
  <si>
    <t>Intensity (Percent) - 1H_S2_2xCen_20250514 [Steady state]</t>
  </si>
  <si>
    <t>Size (d.nm) - 1J_S1_2xCen_20250514_R [Steady state]</t>
  </si>
  <si>
    <t>Intensity (Percent) - 1J_S1_2xCen_20250514_R [Steady state]</t>
  </si>
  <si>
    <t>Size (d.nm) - 3E_S2_2xCen_20250514 [Steady state]</t>
  </si>
  <si>
    <t>Intensity (Percent) - 3E_S2_2xCen_20250514 [Steady state]</t>
  </si>
  <si>
    <t>Size (d.nm) - 3F_S2_2xCen_20250514 [Steady state]</t>
  </si>
  <si>
    <t>Intensity (Percent) - 3F_S2_2xCen_20250514 [Steady state]</t>
  </si>
  <si>
    <t>Size (d.nm) - 3F(2)_S1_2xCen_20250519 [Steady state]</t>
  </si>
  <si>
    <t>Intensity (Percent) - 3F(2)_S1_2xCen_20250519 [Steady state]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</si>
</sst>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Avenir LT Std 55 Roman"/>
      <family val="2"/>
    </font>
    <font>
      <i/>
      <sz val="12"/>
      <color theme="1"/>
      <name val="Avenir LT Std 55 Roman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11" fontId="0" fillId="0" borderId="0" xfId="0" applyNumberFormat="1"/>
    <xf numFmtId="0" fontId="0" fillId="0" borderId="0" xfId="0" applyAlignment="1">
      <alignment vertical="center" wrapText="1"/>
    </xf>
    <xf numFmtId="0" fontId="0" fillId="0" borderId="1" xfId="0" applyBorder="1"/>
    <xf numFmtId="0" fontId="1" fillId="0" borderId="2" xfId="0" applyFont="1" applyBorder="1" applyAlignment="1">
      <alignment horizontal="center"/>
    </xf>
    <xf numFmtId="1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Fig S8b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Summary!$F$1</c:f>
              <c:strCache>
                <c:ptCount val="1"/>
                <c:pt idx="0">
                  <c:v>0.3R1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Summary!$E$2:$E$71</c:f>
              <c:numCache>
                <c:formatCode>General</c:formatCode>
                <c:ptCount val="70"/>
                <c:pt idx="0">
                  <c:v>0.3</c:v>
                </c:pt>
                <c:pt idx="1">
                  <c:v>0.34889999999999999</c:v>
                </c:pt>
                <c:pt idx="2">
                  <c:v>0.40570000000000001</c:v>
                </c:pt>
                <c:pt idx="3">
                  <c:v>0.4718</c:v>
                </c:pt>
                <c:pt idx="4">
                  <c:v>0.54869999999999997</c:v>
                </c:pt>
                <c:pt idx="5">
                  <c:v>0.6381</c:v>
                </c:pt>
                <c:pt idx="6">
                  <c:v>0.74199999999999999</c:v>
                </c:pt>
                <c:pt idx="7">
                  <c:v>0.8629</c:v>
                </c:pt>
                <c:pt idx="8">
                  <c:v>1.0029999999999999</c:v>
                </c:pt>
                <c:pt idx="9">
                  <c:v>1.167</c:v>
                </c:pt>
                <c:pt idx="10">
                  <c:v>1.357</c:v>
                </c:pt>
                <c:pt idx="11">
                  <c:v>1.5780000000000001</c:v>
                </c:pt>
                <c:pt idx="12">
                  <c:v>1.835</c:v>
                </c:pt>
                <c:pt idx="13">
                  <c:v>2.1339999999999999</c:v>
                </c:pt>
                <c:pt idx="14">
                  <c:v>2.4820000000000002</c:v>
                </c:pt>
                <c:pt idx="15">
                  <c:v>2.8860000000000001</c:v>
                </c:pt>
                <c:pt idx="16">
                  <c:v>3.3570000000000002</c:v>
                </c:pt>
                <c:pt idx="17">
                  <c:v>3.903</c:v>
                </c:pt>
                <c:pt idx="18">
                  <c:v>4.5389999999999997</c:v>
                </c:pt>
                <c:pt idx="19">
                  <c:v>5.2789999999999999</c:v>
                </c:pt>
                <c:pt idx="20">
                  <c:v>6.1390000000000002</c:v>
                </c:pt>
                <c:pt idx="21">
                  <c:v>7.1390000000000002</c:v>
                </c:pt>
                <c:pt idx="22">
                  <c:v>8.3019999999999996</c:v>
                </c:pt>
                <c:pt idx="23">
                  <c:v>9.6549999999999994</c:v>
                </c:pt>
                <c:pt idx="24">
                  <c:v>11.23</c:v>
                </c:pt>
                <c:pt idx="25">
                  <c:v>13.06</c:v>
                </c:pt>
                <c:pt idx="26">
                  <c:v>15.18</c:v>
                </c:pt>
                <c:pt idx="27">
                  <c:v>17.66</c:v>
                </c:pt>
                <c:pt idx="28">
                  <c:v>20.53</c:v>
                </c:pt>
                <c:pt idx="29">
                  <c:v>23.88</c:v>
                </c:pt>
                <c:pt idx="30">
                  <c:v>27.77</c:v>
                </c:pt>
                <c:pt idx="31">
                  <c:v>32.299999999999997</c:v>
                </c:pt>
                <c:pt idx="32">
                  <c:v>37.56</c:v>
                </c:pt>
                <c:pt idx="33">
                  <c:v>43.68</c:v>
                </c:pt>
                <c:pt idx="34">
                  <c:v>50.79</c:v>
                </c:pt>
                <c:pt idx="35">
                  <c:v>59.07</c:v>
                </c:pt>
                <c:pt idx="36">
                  <c:v>68.69</c:v>
                </c:pt>
                <c:pt idx="37">
                  <c:v>79.88</c:v>
                </c:pt>
                <c:pt idx="38">
                  <c:v>92.89</c:v>
                </c:pt>
                <c:pt idx="39">
                  <c:v>108</c:v>
                </c:pt>
                <c:pt idx="40">
                  <c:v>125.6</c:v>
                </c:pt>
                <c:pt idx="41">
                  <c:v>146.1</c:v>
                </c:pt>
                <c:pt idx="42">
                  <c:v>169.9</c:v>
                </c:pt>
                <c:pt idx="43">
                  <c:v>197.6</c:v>
                </c:pt>
                <c:pt idx="44">
                  <c:v>229.8</c:v>
                </c:pt>
                <c:pt idx="45">
                  <c:v>267.2</c:v>
                </c:pt>
                <c:pt idx="46">
                  <c:v>310.7</c:v>
                </c:pt>
                <c:pt idx="47">
                  <c:v>361.3</c:v>
                </c:pt>
                <c:pt idx="48">
                  <c:v>420.2</c:v>
                </c:pt>
                <c:pt idx="49">
                  <c:v>488.7</c:v>
                </c:pt>
                <c:pt idx="50">
                  <c:v>568.29999999999995</c:v>
                </c:pt>
                <c:pt idx="51">
                  <c:v>660.9</c:v>
                </c:pt>
                <c:pt idx="52">
                  <c:v>768.5</c:v>
                </c:pt>
                <c:pt idx="53">
                  <c:v>893.8</c:v>
                </c:pt>
                <c:pt idx="54">
                  <c:v>1039</c:v>
                </c:pt>
                <c:pt idx="55">
                  <c:v>1209</c:v>
                </c:pt>
                <c:pt idx="56">
                  <c:v>1406</c:v>
                </c:pt>
                <c:pt idx="57">
                  <c:v>1635</c:v>
                </c:pt>
                <c:pt idx="58">
                  <c:v>1901</c:v>
                </c:pt>
                <c:pt idx="59">
                  <c:v>2211</c:v>
                </c:pt>
                <c:pt idx="60">
                  <c:v>2571</c:v>
                </c:pt>
                <c:pt idx="61">
                  <c:v>2990</c:v>
                </c:pt>
                <c:pt idx="62">
                  <c:v>3477</c:v>
                </c:pt>
                <c:pt idx="63">
                  <c:v>4043</c:v>
                </c:pt>
                <c:pt idx="64">
                  <c:v>4702</c:v>
                </c:pt>
                <c:pt idx="65">
                  <c:v>5468</c:v>
                </c:pt>
                <c:pt idx="66">
                  <c:v>6358</c:v>
                </c:pt>
                <c:pt idx="67">
                  <c:v>7394</c:v>
                </c:pt>
                <c:pt idx="68">
                  <c:v>8599</c:v>
                </c:pt>
                <c:pt idx="69">
                  <c:v>10000</c:v>
                </c:pt>
              </c:numCache>
            </c:numRef>
          </c:xVal>
          <c:yVal>
            <c:numRef>
              <c:f>Summary!$F$2:$F$71</c:f>
              <c:numCache>
                <c:formatCode>General</c:formatCode>
                <c:ptCount val="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0.32316666666666666</c:v>
                </c:pt>
                <c:pt idx="41">
                  <c:v>4.2793333333333337</c:v>
                </c:pt>
                <c:pt idx="42">
                  <c:v>10.706666666666665</c:v>
                </c:pt>
                <c:pt idx="43">
                  <c:v>16.843333333333334</c:v>
                </c:pt>
                <c:pt idx="44">
                  <c:v>20.169999999999998</c:v>
                </c:pt>
                <c:pt idx="45">
                  <c:v>19.493333333333332</c:v>
                </c:pt>
                <c:pt idx="46">
                  <c:v>15.226666666666667</c:v>
                </c:pt>
                <c:pt idx="47">
                  <c:v>9.1069999999999993</c:v>
                </c:pt>
                <c:pt idx="48">
                  <c:v>3.4979999999999998</c:v>
                </c:pt>
                <c:pt idx="49">
                  <c:v>0.34906666666666664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E42-42C9-8556-1230F6548E17}"/>
            </c:ext>
          </c:extLst>
        </c:ser>
        <c:ser>
          <c:idx val="1"/>
          <c:order val="1"/>
          <c:tx>
            <c:strRef>
              <c:f>Summary!$G$1</c:f>
              <c:strCache>
                <c:ptCount val="1"/>
                <c:pt idx="0">
                  <c:v>0.3R2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Summary!$E$2:$E$71</c:f>
              <c:numCache>
                <c:formatCode>General</c:formatCode>
                <c:ptCount val="70"/>
                <c:pt idx="0">
                  <c:v>0.3</c:v>
                </c:pt>
                <c:pt idx="1">
                  <c:v>0.34889999999999999</c:v>
                </c:pt>
                <c:pt idx="2">
                  <c:v>0.40570000000000001</c:v>
                </c:pt>
                <c:pt idx="3">
                  <c:v>0.4718</c:v>
                </c:pt>
                <c:pt idx="4">
                  <c:v>0.54869999999999997</c:v>
                </c:pt>
                <c:pt idx="5">
                  <c:v>0.6381</c:v>
                </c:pt>
                <c:pt idx="6">
                  <c:v>0.74199999999999999</c:v>
                </c:pt>
                <c:pt idx="7">
                  <c:v>0.8629</c:v>
                </c:pt>
                <c:pt idx="8">
                  <c:v>1.0029999999999999</c:v>
                </c:pt>
                <c:pt idx="9">
                  <c:v>1.167</c:v>
                </c:pt>
                <c:pt idx="10">
                  <c:v>1.357</c:v>
                </c:pt>
                <c:pt idx="11">
                  <c:v>1.5780000000000001</c:v>
                </c:pt>
                <c:pt idx="12">
                  <c:v>1.835</c:v>
                </c:pt>
                <c:pt idx="13">
                  <c:v>2.1339999999999999</c:v>
                </c:pt>
                <c:pt idx="14">
                  <c:v>2.4820000000000002</c:v>
                </c:pt>
                <c:pt idx="15">
                  <c:v>2.8860000000000001</c:v>
                </c:pt>
                <c:pt idx="16">
                  <c:v>3.3570000000000002</c:v>
                </c:pt>
                <c:pt idx="17">
                  <c:v>3.903</c:v>
                </c:pt>
                <c:pt idx="18">
                  <c:v>4.5389999999999997</c:v>
                </c:pt>
                <c:pt idx="19">
                  <c:v>5.2789999999999999</c:v>
                </c:pt>
                <c:pt idx="20">
                  <c:v>6.1390000000000002</c:v>
                </c:pt>
                <c:pt idx="21">
                  <c:v>7.1390000000000002</c:v>
                </c:pt>
                <c:pt idx="22">
                  <c:v>8.3019999999999996</c:v>
                </c:pt>
                <c:pt idx="23">
                  <c:v>9.6549999999999994</c:v>
                </c:pt>
                <c:pt idx="24">
                  <c:v>11.23</c:v>
                </c:pt>
                <c:pt idx="25">
                  <c:v>13.06</c:v>
                </c:pt>
                <c:pt idx="26">
                  <c:v>15.18</c:v>
                </c:pt>
                <c:pt idx="27">
                  <c:v>17.66</c:v>
                </c:pt>
                <c:pt idx="28">
                  <c:v>20.53</c:v>
                </c:pt>
                <c:pt idx="29">
                  <c:v>23.88</c:v>
                </c:pt>
                <c:pt idx="30">
                  <c:v>27.77</c:v>
                </c:pt>
                <c:pt idx="31">
                  <c:v>32.299999999999997</c:v>
                </c:pt>
                <c:pt idx="32">
                  <c:v>37.56</c:v>
                </c:pt>
                <c:pt idx="33">
                  <c:v>43.68</c:v>
                </c:pt>
                <c:pt idx="34">
                  <c:v>50.79</c:v>
                </c:pt>
                <c:pt idx="35">
                  <c:v>59.07</c:v>
                </c:pt>
                <c:pt idx="36">
                  <c:v>68.69</c:v>
                </c:pt>
                <c:pt idx="37">
                  <c:v>79.88</c:v>
                </c:pt>
                <c:pt idx="38">
                  <c:v>92.89</c:v>
                </c:pt>
                <c:pt idx="39">
                  <c:v>108</c:v>
                </c:pt>
                <c:pt idx="40">
                  <c:v>125.6</c:v>
                </c:pt>
                <c:pt idx="41">
                  <c:v>146.1</c:v>
                </c:pt>
                <c:pt idx="42">
                  <c:v>169.9</c:v>
                </c:pt>
                <c:pt idx="43">
                  <c:v>197.6</c:v>
                </c:pt>
                <c:pt idx="44">
                  <c:v>229.8</c:v>
                </c:pt>
                <c:pt idx="45">
                  <c:v>267.2</c:v>
                </c:pt>
                <c:pt idx="46">
                  <c:v>310.7</c:v>
                </c:pt>
                <c:pt idx="47">
                  <c:v>361.3</c:v>
                </c:pt>
                <c:pt idx="48">
                  <c:v>420.2</c:v>
                </c:pt>
                <c:pt idx="49">
                  <c:v>488.7</c:v>
                </c:pt>
                <c:pt idx="50">
                  <c:v>568.29999999999995</c:v>
                </c:pt>
                <c:pt idx="51">
                  <c:v>660.9</c:v>
                </c:pt>
                <c:pt idx="52">
                  <c:v>768.5</c:v>
                </c:pt>
                <c:pt idx="53">
                  <c:v>893.8</c:v>
                </c:pt>
                <c:pt idx="54">
                  <c:v>1039</c:v>
                </c:pt>
                <c:pt idx="55">
                  <c:v>1209</c:v>
                </c:pt>
                <c:pt idx="56">
                  <c:v>1406</c:v>
                </c:pt>
                <c:pt idx="57">
                  <c:v>1635</c:v>
                </c:pt>
                <c:pt idx="58">
                  <c:v>1901</c:v>
                </c:pt>
                <c:pt idx="59">
                  <c:v>2211</c:v>
                </c:pt>
                <c:pt idx="60">
                  <c:v>2571</c:v>
                </c:pt>
                <c:pt idx="61">
                  <c:v>2990</c:v>
                </c:pt>
                <c:pt idx="62">
                  <c:v>3477</c:v>
                </c:pt>
                <c:pt idx="63">
                  <c:v>4043</c:v>
                </c:pt>
                <c:pt idx="64">
                  <c:v>4702</c:v>
                </c:pt>
                <c:pt idx="65">
                  <c:v>5468</c:v>
                </c:pt>
                <c:pt idx="66">
                  <c:v>6358</c:v>
                </c:pt>
                <c:pt idx="67">
                  <c:v>7394</c:v>
                </c:pt>
                <c:pt idx="68">
                  <c:v>8599</c:v>
                </c:pt>
                <c:pt idx="69">
                  <c:v>10000</c:v>
                </c:pt>
              </c:numCache>
            </c:numRef>
          </c:xVal>
          <c:yVal>
            <c:numRef>
              <c:f>Summary!$G$2:$G$71</c:f>
              <c:numCache>
                <c:formatCode>General</c:formatCode>
                <c:ptCount val="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2.4923333333333333</c:v>
                </c:pt>
                <c:pt idx="42">
                  <c:v>18.189999999999998</c:v>
                </c:pt>
                <c:pt idx="43">
                  <c:v>31.723333333333333</c:v>
                </c:pt>
                <c:pt idx="44">
                  <c:v>30.323333333333334</c:v>
                </c:pt>
                <c:pt idx="45">
                  <c:v>15.683333333333332</c:v>
                </c:pt>
                <c:pt idx="46">
                  <c:v>1.5886666666666667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E42-42C9-8556-1230F6548E17}"/>
            </c:ext>
          </c:extLst>
        </c:ser>
        <c:ser>
          <c:idx val="2"/>
          <c:order val="2"/>
          <c:tx>
            <c:strRef>
              <c:f>Summary!$H$1</c:f>
              <c:strCache>
                <c:ptCount val="1"/>
                <c:pt idx="0">
                  <c:v>0.3R3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Summary!$E$2:$E$71</c:f>
              <c:numCache>
                <c:formatCode>General</c:formatCode>
                <c:ptCount val="70"/>
                <c:pt idx="0">
                  <c:v>0.3</c:v>
                </c:pt>
                <c:pt idx="1">
                  <c:v>0.34889999999999999</c:v>
                </c:pt>
                <c:pt idx="2">
                  <c:v>0.40570000000000001</c:v>
                </c:pt>
                <c:pt idx="3">
                  <c:v>0.4718</c:v>
                </c:pt>
                <c:pt idx="4">
                  <c:v>0.54869999999999997</c:v>
                </c:pt>
                <c:pt idx="5">
                  <c:v>0.6381</c:v>
                </c:pt>
                <c:pt idx="6">
                  <c:v>0.74199999999999999</c:v>
                </c:pt>
                <c:pt idx="7">
                  <c:v>0.8629</c:v>
                </c:pt>
                <c:pt idx="8">
                  <c:v>1.0029999999999999</c:v>
                </c:pt>
                <c:pt idx="9">
                  <c:v>1.167</c:v>
                </c:pt>
                <c:pt idx="10">
                  <c:v>1.357</c:v>
                </c:pt>
                <c:pt idx="11">
                  <c:v>1.5780000000000001</c:v>
                </c:pt>
                <c:pt idx="12">
                  <c:v>1.835</c:v>
                </c:pt>
                <c:pt idx="13">
                  <c:v>2.1339999999999999</c:v>
                </c:pt>
                <c:pt idx="14">
                  <c:v>2.4820000000000002</c:v>
                </c:pt>
                <c:pt idx="15">
                  <c:v>2.8860000000000001</c:v>
                </c:pt>
                <c:pt idx="16">
                  <c:v>3.3570000000000002</c:v>
                </c:pt>
                <c:pt idx="17">
                  <c:v>3.903</c:v>
                </c:pt>
                <c:pt idx="18">
                  <c:v>4.5389999999999997</c:v>
                </c:pt>
                <c:pt idx="19">
                  <c:v>5.2789999999999999</c:v>
                </c:pt>
                <c:pt idx="20">
                  <c:v>6.1390000000000002</c:v>
                </c:pt>
                <c:pt idx="21">
                  <c:v>7.1390000000000002</c:v>
                </c:pt>
                <c:pt idx="22">
                  <c:v>8.3019999999999996</c:v>
                </c:pt>
                <c:pt idx="23">
                  <c:v>9.6549999999999994</c:v>
                </c:pt>
                <c:pt idx="24">
                  <c:v>11.23</c:v>
                </c:pt>
                <c:pt idx="25">
                  <c:v>13.06</c:v>
                </c:pt>
                <c:pt idx="26">
                  <c:v>15.18</c:v>
                </c:pt>
                <c:pt idx="27">
                  <c:v>17.66</c:v>
                </c:pt>
                <c:pt idx="28">
                  <c:v>20.53</c:v>
                </c:pt>
                <c:pt idx="29">
                  <c:v>23.88</c:v>
                </c:pt>
                <c:pt idx="30">
                  <c:v>27.77</c:v>
                </c:pt>
                <c:pt idx="31">
                  <c:v>32.299999999999997</c:v>
                </c:pt>
                <c:pt idx="32">
                  <c:v>37.56</c:v>
                </c:pt>
                <c:pt idx="33">
                  <c:v>43.68</c:v>
                </c:pt>
                <c:pt idx="34">
                  <c:v>50.79</c:v>
                </c:pt>
                <c:pt idx="35">
                  <c:v>59.07</c:v>
                </c:pt>
                <c:pt idx="36">
                  <c:v>68.69</c:v>
                </c:pt>
                <c:pt idx="37">
                  <c:v>79.88</c:v>
                </c:pt>
                <c:pt idx="38">
                  <c:v>92.89</c:v>
                </c:pt>
                <c:pt idx="39">
                  <c:v>108</c:v>
                </c:pt>
                <c:pt idx="40">
                  <c:v>125.6</c:v>
                </c:pt>
                <c:pt idx="41">
                  <c:v>146.1</c:v>
                </c:pt>
                <c:pt idx="42">
                  <c:v>169.9</c:v>
                </c:pt>
                <c:pt idx="43">
                  <c:v>197.6</c:v>
                </c:pt>
                <c:pt idx="44">
                  <c:v>229.8</c:v>
                </c:pt>
                <c:pt idx="45">
                  <c:v>267.2</c:v>
                </c:pt>
                <c:pt idx="46">
                  <c:v>310.7</c:v>
                </c:pt>
                <c:pt idx="47">
                  <c:v>361.3</c:v>
                </c:pt>
                <c:pt idx="48">
                  <c:v>420.2</c:v>
                </c:pt>
                <c:pt idx="49">
                  <c:v>488.7</c:v>
                </c:pt>
                <c:pt idx="50">
                  <c:v>568.29999999999995</c:v>
                </c:pt>
                <c:pt idx="51">
                  <c:v>660.9</c:v>
                </c:pt>
                <c:pt idx="52">
                  <c:v>768.5</c:v>
                </c:pt>
                <c:pt idx="53">
                  <c:v>893.8</c:v>
                </c:pt>
                <c:pt idx="54">
                  <c:v>1039</c:v>
                </c:pt>
                <c:pt idx="55">
                  <c:v>1209</c:v>
                </c:pt>
                <c:pt idx="56">
                  <c:v>1406</c:v>
                </c:pt>
                <c:pt idx="57">
                  <c:v>1635</c:v>
                </c:pt>
                <c:pt idx="58">
                  <c:v>1901</c:v>
                </c:pt>
                <c:pt idx="59">
                  <c:v>2211</c:v>
                </c:pt>
                <c:pt idx="60">
                  <c:v>2571</c:v>
                </c:pt>
                <c:pt idx="61">
                  <c:v>2990</c:v>
                </c:pt>
                <c:pt idx="62">
                  <c:v>3477</c:v>
                </c:pt>
                <c:pt idx="63">
                  <c:v>4043</c:v>
                </c:pt>
                <c:pt idx="64">
                  <c:v>4702</c:v>
                </c:pt>
                <c:pt idx="65">
                  <c:v>5468</c:v>
                </c:pt>
                <c:pt idx="66">
                  <c:v>6358</c:v>
                </c:pt>
                <c:pt idx="67">
                  <c:v>7394</c:v>
                </c:pt>
                <c:pt idx="68">
                  <c:v>8599</c:v>
                </c:pt>
                <c:pt idx="69">
                  <c:v>10000</c:v>
                </c:pt>
              </c:numCache>
            </c:numRef>
          </c:xVal>
          <c:yVal>
            <c:numRef>
              <c:f>Summary!$H$2:$H$71</c:f>
              <c:numCache>
                <c:formatCode>General</c:formatCode>
                <c:ptCount val="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2.2706666666666666</c:v>
                </c:pt>
                <c:pt idx="43">
                  <c:v>16.12</c:v>
                </c:pt>
                <c:pt idx="44">
                  <c:v>29.063333333333333</c:v>
                </c:pt>
                <c:pt idx="45">
                  <c:v>29.78</c:v>
                </c:pt>
                <c:pt idx="46">
                  <c:v>18.183333333333334</c:v>
                </c:pt>
                <c:pt idx="47">
                  <c:v>4.5813333333333333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E42-42C9-8556-1230F6548E17}"/>
            </c:ext>
          </c:extLst>
        </c:ser>
        <c:ser>
          <c:idx val="3"/>
          <c:order val="3"/>
          <c:tx>
            <c:strRef>
              <c:f>Summary!$I$1</c:f>
              <c:strCache>
                <c:ptCount val="1"/>
                <c:pt idx="0">
                  <c:v>1R1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Summary!$E$2:$E$71</c:f>
              <c:numCache>
                <c:formatCode>General</c:formatCode>
                <c:ptCount val="70"/>
                <c:pt idx="0">
                  <c:v>0.3</c:v>
                </c:pt>
                <c:pt idx="1">
                  <c:v>0.34889999999999999</c:v>
                </c:pt>
                <c:pt idx="2">
                  <c:v>0.40570000000000001</c:v>
                </c:pt>
                <c:pt idx="3">
                  <c:v>0.4718</c:v>
                </c:pt>
                <c:pt idx="4">
                  <c:v>0.54869999999999997</c:v>
                </c:pt>
                <c:pt idx="5">
                  <c:v>0.6381</c:v>
                </c:pt>
                <c:pt idx="6">
                  <c:v>0.74199999999999999</c:v>
                </c:pt>
                <c:pt idx="7">
                  <c:v>0.8629</c:v>
                </c:pt>
                <c:pt idx="8">
                  <c:v>1.0029999999999999</c:v>
                </c:pt>
                <c:pt idx="9">
                  <c:v>1.167</c:v>
                </c:pt>
                <c:pt idx="10">
                  <c:v>1.357</c:v>
                </c:pt>
                <c:pt idx="11">
                  <c:v>1.5780000000000001</c:v>
                </c:pt>
                <c:pt idx="12">
                  <c:v>1.835</c:v>
                </c:pt>
                <c:pt idx="13">
                  <c:v>2.1339999999999999</c:v>
                </c:pt>
                <c:pt idx="14">
                  <c:v>2.4820000000000002</c:v>
                </c:pt>
                <c:pt idx="15">
                  <c:v>2.8860000000000001</c:v>
                </c:pt>
                <c:pt idx="16">
                  <c:v>3.3570000000000002</c:v>
                </c:pt>
                <c:pt idx="17">
                  <c:v>3.903</c:v>
                </c:pt>
                <c:pt idx="18">
                  <c:v>4.5389999999999997</c:v>
                </c:pt>
                <c:pt idx="19">
                  <c:v>5.2789999999999999</c:v>
                </c:pt>
                <c:pt idx="20">
                  <c:v>6.1390000000000002</c:v>
                </c:pt>
                <c:pt idx="21">
                  <c:v>7.1390000000000002</c:v>
                </c:pt>
                <c:pt idx="22">
                  <c:v>8.3019999999999996</c:v>
                </c:pt>
                <c:pt idx="23">
                  <c:v>9.6549999999999994</c:v>
                </c:pt>
                <c:pt idx="24">
                  <c:v>11.23</c:v>
                </c:pt>
                <c:pt idx="25">
                  <c:v>13.06</c:v>
                </c:pt>
                <c:pt idx="26">
                  <c:v>15.18</c:v>
                </c:pt>
                <c:pt idx="27">
                  <c:v>17.66</c:v>
                </c:pt>
                <c:pt idx="28">
                  <c:v>20.53</c:v>
                </c:pt>
                <c:pt idx="29">
                  <c:v>23.88</c:v>
                </c:pt>
                <c:pt idx="30">
                  <c:v>27.77</c:v>
                </c:pt>
                <c:pt idx="31">
                  <c:v>32.299999999999997</c:v>
                </c:pt>
                <c:pt idx="32">
                  <c:v>37.56</c:v>
                </c:pt>
                <c:pt idx="33">
                  <c:v>43.68</c:v>
                </c:pt>
                <c:pt idx="34">
                  <c:v>50.79</c:v>
                </c:pt>
                <c:pt idx="35">
                  <c:v>59.07</c:v>
                </c:pt>
                <c:pt idx="36">
                  <c:v>68.69</c:v>
                </c:pt>
                <c:pt idx="37">
                  <c:v>79.88</c:v>
                </c:pt>
                <c:pt idx="38">
                  <c:v>92.89</c:v>
                </c:pt>
                <c:pt idx="39">
                  <c:v>108</c:v>
                </c:pt>
                <c:pt idx="40">
                  <c:v>125.6</c:v>
                </c:pt>
                <c:pt idx="41">
                  <c:v>146.1</c:v>
                </c:pt>
                <c:pt idx="42">
                  <c:v>169.9</c:v>
                </c:pt>
                <c:pt idx="43">
                  <c:v>197.6</c:v>
                </c:pt>
                <c:pt idx="44">
                  <c:v>229.8</c:v>
                </c:pt>
                <c:pt idx="45">
                  <c:v>267.2</c:v>
                </c:pt>
                <c:pt idx="46">
                  <c:v>310.7</c:v>
                </c:pt>
                <c:pt idx="47">
                  <c:v>361.3</c:v>
                </c:pt>
                <c:pt idx="48">
                  <c:v>420.2</c:v>
                </c:pt>
                <c:pt idx="49">
                  <c:v>488.7</c:v>
                </c:pt>
                <c:pt idx="50">
                  <c:v>568.29999999999995</c:v>
                </c:pt>
                <c:pt idx="51">
                  <c:v>660.9</c:v>
                </c:pt>
                <c:pt idx="52">
                  <c:v>768.5</c:v>
                </c:pt>
                <c:pt idx="53">
                  <c:v>893.8</c:v>
                </c:pt>
                <c:pt idx="54">
                  <c:v>1039</c:v>
                </c:pt>
                <c:pt idx="55">
                  <c:v>1209</c:v>
                </c:pt>
                <c:pt idx="56">
                  <c:v>1406</c:v>
                </c:pt>
                <c:pt idx="57">
                  <c:v>1635</c:v>
                </c:pt>
                <c:pt idx="58">
                  <c:v>1901</c:v>
                </c:pt>
                <c:pt idx="59">
                  <c:v>2211</c:v>
                </c:pt>
                <c:pt idx="60">
                  <c:v>2571</c:v>
                </c:pt>
                <c:pt idx="61">
                  <c:v>2990</c:v>
                </c:pt>
                <c:pt idx="62">
                  <c:v>3477</c:v>
                </c:pt>
                <c:pt idx="63">
                  <c:v>4043</c:v>
                </c:pt>
                <c:pt idx="64">
                  <c:v>4702</c:v>
                </c:pt>
                <c:pt idx="65">
                  <c:v>5468</c:v>
                </c:pt>
                <c:pt idx="66">
                  <c:v>6358</c:v>
                </c:pt>
                <c:pt idx="67">
                  <c:v>7394</c:v>
                </c:pt>
                <c:pt idx="68">
                  <c:v>8599</c:v>
                </c:pt>
                <c:pt idx="69">
                  <c:v>10000</c:v>
                </c:pt>
              </c:numCache>
            </c:numRef>
          </c:xVal>
          <c:yVal>
            <c:numRef>
              <c:f>Summary!$I$2:$I$71</c:f>
              <c:numCache>
                <c:formatCode>General</c:formatCode>
                <c:ptCount val="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3.5700000000000003E-2</c:v>
                </c:pt>
                <c:pt idx="41">
                  <c:v>0.49633333333333335</c:v>
                </c:pt>
                <c:pt idx="42">
                  <c:v>3.6303333333333332</c:v>
                </c:pt>
                <c:pt idx="43">
                  <c:v>8.8506666666666671</c:v>
                </c:pt>
                <c:pt idx="44">
                  <c:v>14.1</c:v>
                </c:pt>
                <c:pt idx="45">
                  <c:v>17.466666666666669</c:v>
                </c:pt>
                <c:pt idx="46">
                  <c:v>17.936666666666667</c:v>
                </c:pt>
                <c:pt idx="47">
                  <c:v>15.586666666666666</c:v>
                </c:pt>
                <c:pt idx="48">
                  <c:v>11.360333333333335</c:v>
                </c:pt>
                <c:pt idx="49">
                  <c:v>6.6793333333333331</c:v>
                </c:pt>
                <c:pt idx="50">
                  <c:v>2.9142333333333332</c:v>
                </c:pt>
                <c:pt idx="51">
                  <c:v>0.83283333333333331</c:v>
                </c:pt>
                <c:pt idx="52">
                  <c:v>0.1043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0E42-42C9-8556-1230F6548E17}"/>
            </c:ext>
          </c:extLst>
        </c:ser>
        <c:ser>
          <c:idx val="4"/>
          <c:order val="4"/>
          <c:tx>
            <c:strRef>
              <c:f>Summary!$J$1</c:f>
              <c:strCache>
                <c:ptCount val="1"/>
                <c:pt idx="0">
                  <c:v>1R2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Summary!$E$2:$E$71</c:f>
              <c:numCache>
                <c:formatCode>General</c:formatCode>
                <c:ptCount val="70"/>
                <c:pt idx="0">
                  <c:v>0.3</c:v>
                </c:pt>
                <c:pt idx="1">
                  <c:v>0.34889999999999999</c:v>
                </c:pt>
                <c:pt idx="2">
                  <c:v>0.40570000000000001</c:v>
                </c:pt>
                <c:pt idx="3">
                  <c:v>0.4718</c:v>
                </c:pt>
                <c:pt idx="4">
                  <c:v>0.54869999999999997</c:v>
                </c:pt>
                <c:pt idx="5">
                  <c:v>0.6381</c:v>
                </c:pt>
                <c:pt idx="6">
                  <c:v>0.74199999999999999</c:v>
                </c:pt>
                <c:pt idx="7">
                  <c:v>0.8629</c:v>
                </c:pt>
                <c:pt idx="8">
                  <c:v>1.0029999999999999</c:v>
                </c:pt>
                <c:pt idx="9">
                  <c:v>1.167</c:v>
                </c:pt>
                <c:pt idx="10">
                  <c:v>1.357</c:v>
                </c:pt>
                <c:pt idx="11">
                  <c:v>1.5780000000000001</c:v>
                </c:pt>
                <c:pt idx="12">
                  <c:v>1.835</c:v>
                </c:pt>
                <c:pt idx="13">
                  <c:v>2.1339999999999999</c:v>
                </c:pt>
                <c:pt idx="14">
                  <c:v>2.4820000000000002</c:v>
                </c:pt>
                <c:pt idx="15">
                  <c:v>2.8860000000000001</c:v>
                </c:pt>
                <c:pt idx="16">
                  <c:v>3.3570000000000002</c:v>
                </c:pt>
                <c:pt idx="17">
                  <c:v>3.903</c:v>
                </c:pt>
                <c:pt idx="18">
                  <c:v>4.5389999999999997</c:v>
                </c:pt>
                <c:pt idx="19">
                  <c:v>5.2789999999999999</c:v>
                </c:pt>
                <c:pt idx="20">
                  <c:v>6.1390000000000002</c:v>
                </c:pt>
                <c:pt idx="21">
                  <c:v>7.1390000000000002</c:v>
                </c:pt>
                <c:pt idx="22">
                  <c:v>8.3019999999999996</c:v>
                </c:pt>
                <c:pt idx="23">
                  <c:v>9.6549999999999994</c:v>
                </c:pt>
                <c:pt idx="24">
                  <c:v>11.23</c:v>
                </c:pt>
                <c:pt idx="25">
                  <c:v>13.06</c:v>
                </c:pt>
                <c:pt idx="26">
                  <c:v>15.18</c:v>
                </c:pt>
                <c:pt idx="27">
                  <c:v>17.66</c:v>
                </c:pt>
                <c:pt idx="28">
                  <c:v>20.53</c:v>
                </c:pt>
                <c:pt idx="29">
                  <c:v>23.88</c:v>
                </c:pt>
                <c:pt idx="30">
                  <c:v>27.77</c:v>
                </c:pt>
                <c:pt idx="31">
                  <c:v>32.299999999999997</c:v>
                </c:pt>
                <c:pt idx="32">
                  <c:v>37.56</c:v>
                </c:pt>
                <c:pt idx="33">
                  <c:v>43.68</c:v>
                </c:pt>
                <c:pt idx="34">
                  <c:v>50.79</c:v>
                </c:pt>
                <c:pt idx="35">
                  <c:v>59.07</c:v>
                </c:pt>
                <c:pt idx="36">
                  <c:v>68.69</c:v>
                </c:pt>
                <c:pt idx="37">
                  <c:v>79.88</c:v>
                </c:pt>
                <c:pt idx="38">
                  <c:v>92.89</c:v>
                </c:pt>
                <c:pt idx="39">
                  <c:v>108</c:v>
                </c:pt>
                <c:pt idx="40">
                  <c:v>125.6</c:v>
                </c:pt>
                <c:pt idx="41">
                  <c:v>146.1</c:v>
                </c:pt>
                <c:pt idx="42">
                  <c:v>169.9</c:v>
                </c:pt>
                <c:pt idx="43">
                  <c:v>197.6</c:v>
                </c:pt>
                <c:pt idx="44">
                  <c:v>229.8</c:v>
                </c:pt>
                <c:pt idx="45">
                  <c:v>267.2</c:v>
                </c:pt>
                <c:pt idx="46">
                  <c:v>310.7</c:v>
                </c:pt>
                <c:pt idx="47">
                  <c:v>361.3</c:v>
                </c:pt>
                <c:pt idx="48">
                  <c:v>420.2</c:v>
                </c:pt>
                <c:pt idx="49">
                  <c:v>488.7</c:v>
                </c:pt>
                <c:pt idx="50">
                  <c:v>568.29999999999995</c:v>
                </c:pt>
                <c:pt idx="51">
                  <c:v>660.9</c:v>
                </c:pt>
                <c:pt idx="52">
                  <c:v>768.5</c:v>
                </c:pt>
                <c:pt idx="53">
                  <c:v>893.8</c:v>
                </c:pt>
                <c:pt idx="54">
                  <c:v>1039</c:v>
                </c:pt>
                <c:pt idx="55">
                  <c:v>1209</c:v>
                </c:pt>
                <c:pt idx="56">
                  <c:v>1406</c:v>
                </c:pt>
                <c:pt idx="57">
                  <c:v>1635</c:v>
                </c:pt>
                <c:pt idx="58">
                  <c:v>1901</c:v>
                </c:pt>
                <c:pt idx="59">
                  <c:v>2211</c:v>
                </c:pt>
                <c:pt idx="60">
                  <c:v>2571</c:v>
                </c:pt>
                <c:pt idx="61">
                  <c:v>2990</c:v>
                </c:pt>
                <c:pt idx="62">
                  <c:v>3477</c:v>
                </c:pt>
                <c:pt idx="63">
                  <c:v>4043</c:v>
                </c:pt>
                <c:pt idx="64">
                  <c:v>4702</c:v>
                </c:pt>
                <c:pt idx="65">
                  <c:v>5468</c:v>
                </c:pt>
                <c:pt idx="66">
                  <c:v>6358</c:v>
                </c:pt>
                <c:pt idx="67">
                  <c:v>7394</c:v>
                </c:pt>
                <c:pt idx="68">
                  <c:v>8599</c:v>
                </c:pt>
                <c:pt idx="69">
                  <c:v>10000</c:v>
                </c:pt>
              </c:numCache>
            </c:numRef>
          </c:xVal>
          <c:yVal>
            <c:numRef>
              <c:f>Summary!$J$2:$J$71</c:f>
              <c:numCache>
                <c:formatCode>General</c:formatCode>
                <c:ptCount val="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0.83829999999999993</c:v>
                </c:pt>
                <c:pt idx="41">
                  <c:v>4.373333333333334</c:v>
                </c:pt>
                <c:pt idx="42">
                  <c:v>10.589666666666666</c:v>
                </c:pt>
                <c:pt idx="43">
                  <c:v>16.696666666666669</c:v>
                </c:pt>
                <c:pt idx="44">
                  <c:v>19.970000000000002</c:v>
                </c:pt>
                <c:pt idx="45">
                  <c:v>19.123333333333335</c:v>
                </c:pt>
                <c:pt idx="46">
                  <c:v>14.726666666666667</c:v>
                </c:pt>
                <c:pt idx="47">
                  <c:v>8.7563333333333322</c:v>
                </c:pt>
                <c:pt idx="48">
                  <c:v>3.6509999999999998</c:v>
                </c:pt>
                <c:pt idx="49">
                  <c:v>1.0286666666666666</c:v>
                </c:pt>
                <c:pt idx="50">
                  <c:v>0.2452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0E42-42C9-8556-1230F6548E17}"/>
            </c:ext>
          </c:extLst>
        </c:ser>
        <c:ser>
          <c:idx val="5"/>
          <c:order val="5"/>
          <c:tx>
            <c:strRef>
              <c:f>Summary!$K$1</c:f>
              <c:strCache>
                <c:ptCount val="1"/>
                <c:pt idx="0">
                  <c:v>1R3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Summary!$E$2:$E$71</c:f>
              <c:numCache>
                <c:formatCode>General</c:formatCode>
                <c:ptCount val="70"/>
                <c:pt idx="0">
                  <c:v>0.3</c:v>
                </c:pt>
                <c:pt idx="1">
                  <c:v>0.34889999999999999</c:v>
                </c:pt>
                <c:pt idx="2">
                  <c:v>0.40570000000000001</c:v>
                </c:pt>
                <c:pt idx="3">
                  <c:v>0.4718</c:v>
                </c:pt>
                <c:pt idx="4">
                  <c:v>0.54869999999999997</c:v>
                </c:pt>
                <c:pt idx="5">
                  <c:v>0.6381</c:v>
                </c:pt>
                <c:pt idx="6">
                  <c:v>0.74199999999999999</c:v>
                </c:pt>
                <c:pt idx="7">
                  <c:v>0.8629</c:v>
                </c:pt>
                <c:pt idx="8">
                  <c:v>1.0029999999999999</c:v>
                </c:pt>
                <c:pt idx="9">
                  <c:v>1.167</c:v>
                </c:pt>
                <c:pt idx="10">
                  <c:v>1.357</c:v>
                </c:pt>
                <c:pt idx="11">
                  <c:v>1.5780000000000001</c:v>
                </c:pt>
                <c:pt idx="12">
                  <c:v>1.835</c:v>
                </c:pt>
                <c:pt idx="13">
                  <c:v>2.1339999999999999</c:v>
                </c:pt>
                <c:pt idx="14">
                  <c:v>2.4820000000000002</c:v>
                </c:pt>
                <c:pt idx="15">
                  <c:v>2.8860000000000001</c:v>
                </c:pt>
                <c:pt idx="16">
                  <c:v>3.3570000000000002</c:v>
                </c:pt>
                <c:pt idx="17">
                  <c:v>3.903</c:v>
                </c:pt>
                <c:pt idx="18">
                  <c:v>4.5389999999999997</c:v>
                </c:pt>
                <c:pt idx="19">
                  <c:v>5.2789999999999999</c:v>
                </c:pt>
                <c:pt idx="20">
                  <c:v>6.1390000000000002</c:v>
                </c:pt>
                <c:pt idx="21">
                  <c:v>7.1390000000000002</c:v>
                </c:pt>
                <c:pt idx="22">
                  <c:v>8.3019999999999996</c:v>
                </c:pt>
                <c:pt idx="23">
                  <c:v>9.6549999999999994</c:v>
                </c:pt>
                <c:pt idx="24">
                  <c:v>11.23</c:v>
                </c:pt>
                <c:pt idx="25">
                  <c:v>13.06</c:v>
                </c:pt>
                <c:pt idx="26">
                  <c:v>15.18</c:v>
                </c:pt>
                <c:pt idx="27">
                  <c:v>17.66</c:v>
                </c:pt>
                <c:pt idx="28">
                  <c:v>20.53</c:v>
                </c:pt>
                <c:pt idx="29">
                  <c:v>23.88</c:v>
                </c:pt>
                <c:pt idx="30">
                  <c:v>27.77</c:v>
                </c:pt>
                <c:pt idx="31">
                  <c:v>32.299999999999997</c:v>
                </c:pt>
                <c:pt idx="32">
                  <c:v>37.56</c:v>
                </c:pt>
                <c:pt idx="33">
                  <c:v>43.68</c:v>
                </c:pt>
                <c:pt idx="34">
                  <c:v>50.79</c:v>
                </c:pt>
                <c:pt idx="35">
                  <c:v>59.07</c:v>
                </c:pt>
                <c:pt idx="36">
                  <c:v>68.69</c:v>
                </c:pt>
                <c:pt idx="37">
                  <c:v>79.88</c:v>
                </c:pt>
                <c:pt idx="38">
                  <c:v>92.89</c:v>
                </c:pt>
                <c:pt idx="39">
                  <c:v>108</c:v>
                </c:pt>
                <c:pt idx="40">
                  <c:v>125.6</c:v>
                </c:pt>
                <c:pt idx="41">
                  <c:v>146.1</c:v>
                </c:pt>
                <c:pt idx="42">
                  <c:v>169.9</c:v>
                </c:pt>
                <c:pt idx="43">
                  <c:v>197.6</c:v>
                </c:pt>
                <c:pt idx="44">
                  <c:v>229.8</c:v>
                </c:pt>
                <c:pt idx="45">
                  <c:v>267.2</c:v>
                </c:pt>
                <c:pt idx="46">
                  <c:v>310.7</c:v>
                </c:pt>
                <c:pt idx="47">
                  <c:v>361.3</c:v>
                </c:pt>
                <c:pt idx="48">
                  <c:v>420.2</c:v>
                </c:pt>
                <c:pt idx="49">
                  <c:v>488.7</c:v>
                </c:pt>
                <c:pt idx="50">
                  <c:v>568.29999999999995</c:v>
                </c:pt>
                <c:pt idx="51">
                  <c:v>660.9</c:v>
                </c:pt>
                <c:pt idx="52">
                  <c:v>768.5</c:v>
                </c:pt>
                <c:pt idx="53">
                  <c:v>893.8</c:v>
                </c:pt>
                <c:pt idx="54">
                  <c:v>1039</c:v>
                </c:pt>
                <c:pt idx="55">
                  <c:v>1209</c:v>
                </c:pt>
                <c:pt idx="56">
                  <c:v>1406</c:v>
                </c:pt>
                <c:pt idx="57">
                  <c:v>1635</c:v>
                </c:pt>
                <c:pt idx="58">
                  <c:v>1901</c:v>
                </c:pt>
                <c:pt idx="59">
                  <c:v>2211</c:v>
                </c:pt>
                <c:pt idx="60">
                  <c:v>2571</c:v>
                </c:pt>
                <c:pt idx="61">
                  <c:v>2990</c:v>
                </c:pt>
                <c:pt idx="62">
                  <c:v>3477</c:v>
                </c:pt>
                <c:pt idx="63">
                  <c:v>4043</c:v>
                </c:pt>
                <c:pt idx="64">
                  <c:v>4702</c:v>
                </c:pt>
                <c:pt idx="65">
                  <c:v>5468</c:v>
                </c:pt>
                <c:pt idx="66">
                  <c:v>6358</c:v>
                </c:pt>
                <c:pt idx="67">
                  <c:v>7394</c:v>
                </c:pt>
                <c:pt idx="68">
                  <c:v>8599</c:v>
                </c:pt>
                <c:pt idx="69">
                  <c:v>10000</c:v>
                </c:pt>
              </c:numCache>
            </c:numRef>
          </c:xVal>
          <c:yVal>
            <c:numRef>
              <c:f>Summary!$K$2:$K$71</c:f>
              <c:numCache>
                <c:formatCode>General</c:formatCode>
                <c:ptCount val="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0.49100000000000005</c:v>
                </c:pt>
                <c:pt idx="41">
                  <c:v>5.2416666666666663</c:v>
                </c:pt>
                <c:pt idx="42">
                  <c:v>13.89</c:v>
                </c:pt>
                <c:pt idx="43">
                  <c:v>21.343333333333334</c:v>
                </c:pt>
                <c:pt idx="44">
                  <c:v>23.413333333333338</c:v>
                </c:pt>
                <c:pt idx="45">
                  <c:v>19.24666666666667</c:v>
                </c:pt>
                <c:pt idx="46">
                  <c:v>11.400666666666666</c:v>
                </c:pt>
                <c:pt idx="47">
                  <c:v>4.174666666666667</c:v>
                </c:pt>
                <c:pt idx="48">
                  <c:v>0.80130000000000001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0E42-42C9-8556-1230F6548E17}"/>
            </c:ext>
          </c:extLst>
        </c:ser>
        <c:ser>
          <c:idx val="6"/>
          <c:order val="6"/>
          <c:tx>
            <c:strRef>
              <c:f>Summary!$L$1</c:f>
              <c:strCache>
                <c:ptCount val="1"/>
                <c:pt idx="0">
                  <c:v>3R1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Summary!$E$2:$E$71</c:f>
              <c:numCache>
                <c:formatCode>General</c:formatCode>
                <c:ptCount val="70"/>
                <c:pt idx="0">
                  <c:v>0.3</c:v>
                </c:pt>
                <c:pt idx="1">
                  <c:v>0.34889999999999999</c:v>
                </c:pt>
                <c:pt idx="2">
                  <c:v>0.40570000000000001</c:v>
                </c:pt>
                <c:pt idx="3">
                  <c:v>0.4718</c:v>
                </c:pt>
                <c:pt idx="4">
                  <c:v>0.54869999999999997</c:v>
                </c:pt>
                <c:pt idx="5">
                  <c:v>0.6381</c:v>
                </c:pt>
                <c:pt idx="6">
                  <c:v>0.74199999999999999</c:v>
                </c:pt>
                <c:pt idx="7">
                  <c:v>0.8629</c:v>
                </c:pt>
                <c:pt idx="8">
                  <c:v>1.0029999999999999</c:v>
                </c:pt>
                <c:pt idx="9">
                  <c:v>1.167</c:v>
                </c:pt>
                <c:pt idx="10">
                  <c:v>1.357</c:v>
                </c:pt>
                <c:pt idx="11">
                  <c:v>1.5780000000000001</c:v>
                </c:pt>
                <c:pt idx="12">
                  <c:v>1.835</c:v>
                </c:pt>
                <c:pt idx="13">
                  <c:v>2.1339999999999999</c:v>
                </c:pt>
                <c:pt idx="14">
                  <c:v>2.4820000000000002</c:v>
                </c:pt>
                <c:pt idx="15">
                  <c:v>2.8860000000000001</c:v>
                </c:pt>
                <c:pt idx="16">
                  <c:v>3.3570000000000002</c:v>
                </c:pt>
                <c:pt idx="17">
                  <c:v>3.903</c:v>
                </c:pt>
                <c:pt idx="18">
                  <c:v>4.5389999999999997</c:v>
                </c:pt>
                <c:pt idx="19">
                  <c:v>5.2789999999999999</c:v>
                </c:pt>
                <c:pt idx="20">
                  <c:v>6.1390000000000002</c:v>
                </c:pt>
                <c:pt idx="21">
                  <c:v>7.1390000000000002</c:v>
                </c:pt>
                <c:pt idx="22">
                  <c:v>8.3019999999999996</c:v>
                </c:pt>
                <c:pt idx="23">
                  <c:v>9.6549999999999994</c:v>
                </c:pt>
                <c:pt idx="24">
                  <c:v>11.23</c:v>
                </c:pt>
                <c:pt idx="25">
                  <c:v>13.06</c:v>
                </c:pt>
                <c:pt idx="26">
                  <c:v>15.18</c:v>
                </c:pt>
                <c:pt idx="27">
                  <c:v>17.66</c:v>
                </c:pt>
                <c:pt idx="28">
                  <c:v>20.53</c:v>
                </c:pt>
                <c:pt idx="29">
                  <c:v>23.88</c:v>
                </c:pt>
                <c:pt idx="30">
                  <c:v>27.77</c:v>
                </c:pt>
                <c:pt idx="31">
                  <c:v>32.299999999999997</c:v>
                </c:pt>
                <c:pt idx="32">
                  <c:v>37.56</c:v>
                </c:pt>
                <c:pt idx="33">
                  <c:v>43.68</c:v>
                </c:pt>
                <c:pt idx="34">
                  <c:v>50.79</c:v>
                </c:pt>
                <c:pt idx="35">
                  <c:v>59.07</c:v>
                </c:pt>
                <c:pt idx="36">
                  <c:v>68.69</c:v>
                </c:pt>
                <c:pt idx="37">
                  <c:v>79.88</c:v>
                </c:pt>
                <c:pt idx="38">
                  <c:v>92.89</c:v>
                </c:pt>
                <c:pt idx="39">
                  <c:v>108</c:v>
                </c:pt>
                <c:pt idx="40">
                  <c:v>125.6</c:v>
                </c:pt>
                <c:pt idx="41">
                  <c:v>146.1</c:v>
                </c:pt>
                <c:pt idx="42">
                  <c:v>169.9</c:v>
                </c:pt>
                <c:pt idx="43">
                  <c:v>197.6</c:v>
                </c:pt>
                <c:pt idx="44">
                  <c:v>229.8</c:v>
                </c:pt>
                <c:pt idx="45">
                  <c:v>267.2</c:v>
                </c:pt>
                <c:pt idx="46">
                  <c:v>310.7</c:v>
                </c:pt>
                <c:pt idx="47">
                  <c:v>361.3</c:v>
                </c:pt>
                <c:pt idx="48">
                  <c:v>420.2</c:v>
                </c:pt>
                <c:pt idx="49">
                  <c:v>488.7</c:v>
                </c:pt>
                <c:pt idx="50">
                  <c:v>568.29999999999995</c:v>
                </c:pt>
                <c:pt idx="51">
                  <c:v>660.9</c:v>
                </c:pt>
                <c:pt idx="52">
                  <c:v>768.5</c:v>
                </c:pt>
                <c:pt idx="53">
                  <c:v>893.8</c:v>
                </c:pt>
                <c:pt idx="54">
                  <c:v>1039</c:v>
                </c:pt>
                <c:pt idx="55">
                  <c:v>1209</c:v>
                </c:pt>
                <c:pt idx="56">
                  <c:v>1406</c:v>
                </c:pt>
                <c:pt idx="57">
                  <c:v>1635</c:v>
                </c:pt>
                <c:pt idx="58">
                  <c:v>1901</c:v>
                </c:pt>
                <c:pt idx="59">
                  <c:v>2211</c:v>
                </c:pt>
                <c:pt idx="60">
                  <c:v>2571</c:v>
                </c:pt>
                <c:pt idx="61">
                  <c:v>2990</c:v>
                </c:pt>
                <c:pt idx="62">
                  <c:v>3477</c:v>
                </c:pt>
                <c:pt idx="63">
                  <c:v>4043</c:v>
                </c:pt>
                <c:pt idx="64">
                  <c:v>4702</c:v>
                </c:pt>
                <c:pt idx="65">
                  <c:v>5468</c:v>
                </c:pt>
                <c:pt idx="66">
                  <c:v>6358</c:v>
                </c:pt>
                <c:pt idx="67">
                  <c:v>7394</c:v>
                </c:pt>
                <c:pt idx="68">
                  <c:v>8599</c:v>
                </c:pt>
                <c:pt idx="69">
                  <c:v>10000</c:v>
                </c:pt>
              </c:numCache>
            </c:numRef>
          </c:xVal>
          <c:yVal>
            <c:numRef>
              <c:f>Summary!$L$2:$L$71</c:f>
              <c:numCache>
                <c:formatCode>General</c:formatCode>
                <c:ptCount val="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0.18819666666666668</c:v>
                </c:pt>
                <c:pt idx="41">
                  <c:v>6.5176666666666669</c:v>
                </c:pt>
                <c:pt idx="42">
                  <c:v>15.81</c:v>
                </c:pt>
                <c:pt idx="43">
                  <c:v>22.64</c:v>
                </c:pt>
                <c:pt idx="44">
                  <c:v>23.503333333333334</c:v>
                </c:pt>
                <c:pt idx="45">
                  <c:v>18.323333333333334</c:v>
                </c:pt>
                <c:pt idx="46">
                  <c:v>10.059333333333335</c:v>
                </c:pt>
                <c:pt idx="47">
                  <c:v>2.9546666666666668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0E42-42C9-8556-1230F6548E17}"/>
            </c:ext>
          </c:extLst>
        </c:ser>
        <c:ser>
          <c:idx val="7"/>
          <c:order val="7"/>
          <c:tx>
            <c:strRef>
              <c:f>Summary!$M$1</c:f>
              <c:strCache>
                <c:ptCount val="1"/>
                <c:pt idx="0">
                  <c:v>3R2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Summary!$E$2:$E$71</c:f>
              <c:numCache>
                <c:formatCode>General</c:formatCode>
                <c:ptCount val="70"/>
                <c:pt idx="0">
                  <c:v>0.3</c:v>
                </c:pt>
                <c:pt idx="1">
                  <c:v>0.34889999999999999</c:v>
                </c:pt>
                <c:pt idx="2">
                  <c:v>0.40570000000000001</c:v>
                </c:pt>
                <c:pt idx="3">
                  <c:v>0.4718</c:v>
                </c:pt>
                <c:pt idx="4">
                  <c:v>0.54869999999999997</c:v>
                </c:pt>
                <c:pt idx="5">
                  <c:v>0.6381</c:v>
                </c:pt>
                <c:pt idx="6">
                  <c:v>0.74199999999999999</c:v>
                </c:pt>
                <c:pt idx="7">
                  <c:v>0.8629</c:v>
                </c:pt>
                <c:pt idx="8">
                  <c:v>1.0029999999999999</c:v>
                </c:pt>
                <c:pt idx="9">
                  <c:v>1.167</c:v>
                </c:pt>
                <c:pt idx="10">
                  <c:v>1.357</c:v>
                </c:pt>
                <c:pt idx="11">
                  <c:v>1.5780000000000001</c:v>
                </c:pt>
                <c:pt idx="12">
                  <c:v>1.835</c:v>
                </c:pt>
                <c:pt idx="13">
                  <c:v>2.1339999999999999</c:v>
                </c:pt>
                <c:pt idx="14">
                  <c:v>2.4820000000000002</c:v>
                </c:pt>
                <c:pt idx="15">
                  <c:v>2.8860000000000001</c:v>
                </c:pt>
                <c:pt idx="16">
                  <c:v>3.3570000000000002</c:v>
                </c:pt>
                <c:pt idx="17">
                  <c:v>3.903</c:v>
                </c:pt>
                <c:pt idx="18">
                  <c:v>4.5389999999999997</c:v>
                </c:pt>
                <c:pt idx="19">
                  <c:v>5.2789999999999999</c:v>
                </c:pt>
                <c:pt idx="20">
                  <c:v>6.1390000000000002</c:v>
                </c:pt>
                <c:pt idx="21">
                  <c:v>7.1390000000000002</c:v>
                </c:pt>
                <c:pt idx="22">
                  <c:v>8.3019999999999996</c:v>
                </c:pt>
                <c:pt idx="23">
                  <c:v>9.6549999999999994</c:v>
                </c:pt>
                <c:pt idx="24">
                  <c:v>11.23</c:v>
                </c:pt>
                <c:pt idx="25">
                  <c:v>13.06</c:v>
                </c:pt>
                <c:pt idx="26">
                  <c:v>15.18</c:v>
                </c:pt>
                <c:pt idx="27">
                  <c:v>17.66</c:v>
                </c:pt>
                <c:pt idx="28">
                  <c:v>20.53</c:v>
                </c:pt>
                <c:pt idx="29">
                  <c:v>23.88</c:v>
                </c:pt>
                <c:pt idx="30">
                  <c:v>27.77</c:v>
                </c:pt>
                <c:pt idx="31">
                  <c:v>32.299999999999997</c:v>
                </c:pt>
                <c:pt idx="32">
                  <c:v>37.56</c:v>
                </c:pt>
                <c:pt idx="33">
                  <c:v>43.68</c:v>
                </c:pt>
                <c:pt idx="34">
                  <c:v>50.79</c:v>
                </c:pt>
                <c:pt idx="35">
                  <c:v>59.07</c:v>
                </c:pt>
                <c:pt idx="36">
                  <c:v>68.69</c:v>
                </c:pt>
                <c:pt idx="37">
                  <c:v>79.88</c:v>
                </c:pt>
                <c:pt idx="38">
                  <c:v>92.89</c:v>
                </c:pt>
                <c:pt idx="39">
                  <c:v>108</c:v>
                </c:pt>
                <c:pt idx="40">
                  <c:v>125.6</c:v>
                </c:pt>
                <c:pt idx="41">
                  <c:v>146.1</c:v>
                </c:pt>
                <c:pt idx="42">
                  <c:v>169.9</c:v>
                </c:pt>
                <c:pt idx="43">
                  <c:v>197.6</c:v>
                </c:pt>
                <c:pt idx="44">
                  <c:v>229.8</c:v>
                </c:pt>
                <c:pt idx="45">
                  <c:v>267.2</c:v>
                </c:pt>
                <c:pt idx="46">
                  <c:v>310.7</c:v>
                </c:pt>
                <c:pt idx="47">
                  <c:v>361.3</c:v>
                </c:pt>
                <c:pt idx="48">
                  <c:v>420.2</c:v>
                </c:pt>
                <c:pt idx="49">
                  <c:v>488.7</c:v>
                </c:pt>
                <c:pt idx="50">
                  <c:v>568.29999999999995</c:v>
                </c:pt>
                <c:pt idx="51">
                  <c:v>660.9</c:v>
                </c:pt>
                <c:pt idx="52">
                  <c:v>768.5</c:v>
                </c:pt>
                <c:pt idx="53">
                  <c:v>893.8</c:v>
                </c:pt>
                <c:pt idx="54">
                  <c:v>1039</c:v>
                </c:pt>
                <c:pt idx="55">
                  <c:v>1209</c:v>
                </c:pt>
                <c:pt idx="56">
                  <c:v>1406</c:v>
                </c:pt>
                <c:pt idx="57">
                  <c:v>1635</c:v>
                </c:pt>
                <c:pt idx="58">
                  <c:v>1901</c:v>
                </c:pt>
                <c:pt idx="59">
                  <c:v>2211</c:v>
                </c:pt>
                <c:pt idx="60">
                  <c:v>2571</c:v>
                </c:pt>
                <c:pt idx="61">
                  <c:v>2990</c:v>
                </c:pt>
                <c:pt idx="62">
                  <c:v>3477</c:v>
                </c:pt>
                <c:pt idx="63">
                  <c:v>4043</c:v>
                </c:pt>
                <c:pt idx="64">
                  <c:v>4702</c:v>
                </c:pt>
                <c:pt idx="65">
                  <c:v>5468</c:v>
                </c:pt>
                <c:pt idx="66">
                  <c:v>6358</c:v>
                </c:pt>
                <c:pt idx="67">
                  <c:v>7394</c:v>
                </c:pt>
                <c:pt idx="68">
                  <c:v>8599</c:v>
                </c:pt>
                <c:pt idx="69">
                  <c:v>10000</c:v>
                </c:pt>
              </c:numCache>
            </c:numRef>
          </c:xVal>
          <c:yVal>
            <c:numRef>
              <c:f>Summary!$M$2:$M$71</c:f>
              <c:numCache>
                <c:formatCode>General</c:formatCode>
                <c:ptCount val="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0.78633333333333333</c:v>
                </c:pt>
                <c:pt idx="41">
                  <c:v>7.0509999999999993</c:v>
                </c:pt>
                <c:pt idx="42">
                  <c:v>15.989666666666666</c:v>
                </c:pt>
                <c:pt idx="43">
                  <c:v>22.996666666666666</c:v>
                </c:pt>
                <c:pt idx="44">
                  <c:v>23.399999999999995</c:v>
                </c:pt>
                <c:pt idx="45">
                  <c:v>17.230999999999998</c:v>
                </c:pt>
                <c:pt idx="46">
                  <c:v>8.8628666666666671</c:v>
                </c:pt>
                <c:pt idx="47">
                  <c:v>3.265133333333333</c:v>
                </c:pt>
                <c:pt idx="48">
                  <c:v>0.41199999999999998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0E42-42C9-8556-1230F6548E17}"/>
            </c:ext>
          </c:extLst>
        </c:ser>
        <c:ser>
          <c:idx val="8"/>
          <c:order val="8"/>
          <c:tx>
            <c:strRef>
              <c:f>Summary!$N$1</c:f>
              <c:strCache>
                <c:ptCount val="1"/>
                <c:pt idx="0">
                  <c:v>3R3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Summary!$E$2:$E$71</c:f>
              <c:numCache>
                <c:formatCode>General</c:formatCode>
                <c:ptCount val="70"/>
                <c:pt idx="0">
                  <c:v>0.3</c:v>
                </c:pt>
                <c:pt idx="1">
                  <c:v>0.34889999999999999</c:v>
                </c:pt>
                <c:pt idx="2">
                  <c:v>0.40570000000000001</c:v>
                </c:pt>
                <c:pt idx="3">
                  <c:v>0.4718</c:v>
                </c:pt>
                <c:pt idx="4">
                  <c:v>0.54869999999999997</c:v>
                </c:pt>
                <c:pt idx="5">
                  <c:v>0.6381</c:v>
                </c:pt>
                <c:pt idx="6">
                  <c:v>0.74199999999999999</c:v>
                </c:pt>
                <c:pt idx="7">
                  <c:v>0.8629</c:v>
                </c:pt>
                <c:pt idx="8">
                  <c:v>1.0029999999999999</c:v>
                </c:pt>
                <c:pt idx="9">
                  <c:v>1.167</c:v>
                </c:pt>
                <c:pt idx="10">
                  <c:v>1.357</c:v>
                </c:pt>
                <c:pt idx="11">
                  <c:v>1.5780000000000001</c:v>
                </c:pt>
                <c:pt idx="12">
                  <c:v>1.835</c:v>
                </c:pt>
                <c:pt idx="13">
                  <c:v>2.1339999999999999</c:v>
                </c:pt>
                <c:pt idx="14">
                  <c:v>2.4820000000000002</c:v>
                </c:pt>
                <c:pt idx="15">
                  <c:v>2.8860000000000001</c:v>
                </c:pt>
                <c:pt idx="16">
                  <c:v>3.3570000000000002</c:v>
                </c:pt>
                <c:pt idx="17">
                  <c:v>3.903</c:v>
                </c:pt>
                <c:pt idx="18">
                  <c:v>4.5389999999999997</c:v>
                </c:pt>
                <c:pt idx="19">
                  <c:v>5.2789999999999999</c:v>
                </c:pt>
                <c:pt idx="20">
                  <c:v>6.1390000000000002</c:v>
                </c:pt>
                <c:pt idx="21">
                  <c:v>7.1390000000000002</c:v>
                </c:pt>
                <c:pt idx="22">
                  <c:v>8.3019999999999996</c:v>
                </c:pt>
                <c:pt idx="23">
                  <c:v>9.6549999999999994</c:v>
                </c:pt>
                <c:pt idx="24">
                  <c:v>11.23</c:v>
                </c:pt>
                <c:pt idx="25">
                  <c:v>13.06</c:v>
                </c:pt>
                <c:pt idx="26">
                  <c:v>15.18</c:v>
                </c:pt>
                <c:pt idx="27">
                  <c:v>17.66</c:v>
                </c:pt>
                <c:pt idx="28">
                  <c:v>20.53</c:v>
                </c:pt>
                <c:pt idx="29">
                  <c:v>23.88</c:v>
                </c:pt>
                <c:pt idx="30">
                  <c:v>27.77</c:v>
                </c:pt>
                <c:pt idx="31">
                  <c:v>32.299999999999997</c:v>
                </c:pt>
                <c:pt idx="32">
                  <c:v>37.56</c:v>
                </c:pt>
                <c:pt idx="33">
                  <c:v>43.68</c:v>
                </c:pt>
                <c:pt idx="34">
                  <c:v>50.79</c:v>
                </c:pt>
                <c:pt idx="35">
                  <c:v>59.07</c:v>
                </c:pt>
                <c:pt idx="36">
                  <c:v>68.69</c:v>
                </c:pt>
                <c:pt idx="37">
                  <c:v>79.88</c:v>
                </c:pt>
                <c:pt idx="38">
                  <c:v>92.89</c:v>
                </c:pt>
                <c:pt idx="39">
                  <c:v>108</c:v>
                </c:pt>
                <c:pt idx="40">
                  <c:v>125.6</c:v>
                </c:pt>
                <c:pt idx="41">
                  <c:v>146.1</c:v>
                </c:pt>
                <c:pt idx="42">
                  <c:v>169.9</c:v>
                </c:pt>
                <c:pt idx="43">
                  <c:v>197.6</c:v>
                </c:pt>
                <c:pt idx="44">
                  <c:v>229.8</c:v>
                </c:pt>
                <c:pt idx="45">
                  <c:v>267.2</c:v>
                </c:pt>
                <c:pt idx="46">
                  <c:v>310.7</c:v>
                </c:pt>
                <c:pt idx="47">
                  <c:v>361.3</c:v>
                </c:pt>
                <c:pt idx="48">
                  <c:v>420.2</c:v>
                </c:pt>
                <c:pt idx="49">
                  <c:v>488.7</c:v>
                </c:pt>
                <c:pt idx="50">
                  <c:v>568.29999999999995</c:v>
                </c:pt>
                <c:pt idx="51">
                  <c:v>660.9</c:v>
                </c:pt>
                <c:pt idx="52">
                  <c:v>768.5</c:v>
                </c:pt>
                <c:pt idx="53">
                  <c:v>893.8</c:v>
                </c:pt>
                <c:pt idx="54">
                  <c:v>1039</c:v>
                </c:pt>
                <c:pt idx="55">
                  <c:v>1209</c:v>
                </c:pt>
                <c:pt idx="56">
                  <c:v>1406</c:v>
                </c:pt>
                <c:pt idx="57">
                  <c:v>1635</c:v>
                </c:pt>
                <c:pt idx="58">
                  <c:v>1901</c:v>
                </c:pt>
                <c:pt idx="59">
                  <c:v>2211</c:v>
                </c:pt>
                <c:pt idx="60">
                  <c:v>2571</c:v>
                </c:pt>
                <c:pt idx="61">
                  <c:v>2990</c:v>
                </c:pt>
                <c:pt idx="62">
                  <c:v>3477</c:v>
                </c:pt>
                <c:pt idx="63">
                  <c:v>4043</c:v>
                </c:pt>
                <c:pt idx="64">
                  <c:v>4702</c:v>
                </c:pt>
                <c:pt idx="65">
                  <c:v>5468</c:v>
                </c:pt>
                <c:pt idx="66">
                  <c:v>6358</c:v>
                </c:pt>
                <c:pt idx="67">
                  <c:v>7394</c:v>
                </c:pt>
                <c:pt idx="68">
                  <c:v>8599</c:v>
                </c:pt>
                <c:pt idx="69">
                  <c:v>10000</c:v>
                </c:pt>
              </c:numCache>
            </c:numRef>
          </c:xVal>
          <c:yVal>
            <c:numRef>
              <c:f>Summary!$N$2:$N$71</c:f>
              <c:numCache>
                <c:formatCode>General</c:formatCode>
                <c:ptCount val="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1.0410000000000001</c:v>
                </c:pt>
                <c:pt idx="43">
                  <c:v>25.953333333333333</c:v>
                </c:pt>
                <c:pt idx="44">
                  <c:v>40.93333333333333</c:v>
                </c:pt>
                <c:pt idx="45">
                  <c:v>26.856666666666669</c:v>
                </c:pt>
                <c:pt idx="46">
                  <c:v>5.2143333333333333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0E42-42C9-8556-1230F6548E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4185936"/>
        <c:axId val="564186416"/>
      </c:scatterChart>
      <c:valAx>
        <c:axId val="564185936"/>
        <c:scaling>
          <c:logBase val="10"/>
          <c:orientation val="minMax"/>
        </c:scaling>
        <c:delete val="0"/>
        <c:axPos val="b"/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ysClr val="windowText" lastClr="000000"/>
                </a:solidFill>
                <a:latin typeface="Avenir LT Std 45 Book" panose="020B0502020203020204" pitchFamily="34" charset="0"/>
                <a:ea typeface="+mn-ea"/>
                <a:cs typeface="+mn-cs"/>
              </a:defRPr>
            </a:pPr>
            <a:endParaRPr lang="en-US"/>
          </a:p>
        </c:txPr>
        <c:crossAx val="564186416"/>
        <c:crosses val="autoZero"/>
        <c:crossBetween val="midCat"/>
      </c:valAx>
      <c:valAx>
        <c:axId val="56418641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5641859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7519702565001315"/>
          <c:y val="0.25000013323207698"/>
          <c:w val="0.13354531001589826"/>
          <c:h val="0.38103468030963134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venir LT Std 45 Book" panose="020B050202020302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1496662232289455E-2"/>
          <c:y val="4.3993231810490696E-2"/>
          <c:w val="0.89668188736681886"/>
          <c:h val="0.9255499153976311"/>
        </c:manualLayout>
      </c:layout>
      <c:scatterChart>
        <c:scatterStyle val="smoothMarker"/>
        <c:varyColors val="0"/>
        <c:ser>
          <c:idx val="0"/>
          <c:order val="0"/>
          <c:tx>
            <c:strRef>
              <c:f>Summary!$Q$1</c:f>
              <c:strCache>
                <c:ptCount val="1"/>
                <c:pt idx="0">
                  <c:v>0.3% w/w</c:v>
                </c:pt>
              </c:strCache>
            </c:strRef>
          </c:tx>
          <c:spPr>
            <a:ln w="381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Summary!$P$2:$P$71</c:f>
              <c:numCache>
                <c:formatCode>General</c:formatCode>
                <c:ptCount val="70"/>
                <c:pt idx="0">
                  <c:v>0.3</c:v>
                </c:pt>
                <c:pt idx="1">
                  <c:v>0.34889999999999999</c:v>
                </c:pt>
                <c:pt idx="2">
                  <c:v>0.40570000000000001</c:v>
                </c:pt>
                <c:pt idx="3">
                  <c:v>0.4718</c:v>
                </c:pt>
                <c:pt idx="4">
                  <c:v>0.54869999999999997</c:v>
                </c:pt>
                <c:pt idx="5">
                  <c:v>0.6381</c:v>
                </c:pt>
                <c:pt idx="6">
                  <c:v>0.74199999999999999</c:v>
                </c:pt>
                <c:pt idx="7">
                  <c:v>0.8629</c:v>
                </c:pt>
                <c:pt idx="8">
                  <c:v>1.0029999999999999</c:v>
                </c:pt>
                <c:pt idx="9">
                  <c:v>1.167</c:v>
                </c:pt>
                <c:pt idx="10">
                  <c:v>1.357</c:v>
                </c:pt>
                <c:pt idx="11">
                  <c:v>1.5780000000000001</c:v>
                </c:pt>
                <c:pt idx="12">
                  <c:v>1.835</c:v>
                </c:pt>
                <c:pt idx="13">
                  <c:v>2.1339999999999999</c:v>
                </c:pt>
                <c:pt idx="14">
                  <c:v>2.4820000000000002</c:v>
                </c:pt>
                <c:pt idx="15">
                  <c:v>2.8860000000000001</c:v>
                </c:pt>
                <c:pt idx="16">
                  <c:v>3.3570000000000002</c:v>
                </c:pt>
                <c:pt idx="17">
                  <c:v>3.903</c:v>
                </c:pt>
                <c:pt idx="18">
                  <c:v>4.5389999999999997</c:v>
                </c:pt>
                <c:pt idx="19">
                  <c:v>5.2789999999999999</c:v>
                </c:pt>
                <c:pt idx="20">
                  <c:v>6.1390000000000002</c:v>
                </c:pt>
                <c:pt idx="21">
                  <c:v>7.1390000000000002</c:v>
                </c:pt>
                <c:pt idx="22">
                  <c:v>8.3019999999999996</c:v>
                </c:pt>
                <c:pt idx="23">
                  <c:v>9.6549999999999994</c:v>
                </c:pt>
                <c:pt idx="24">
                  <c:v>11.23</c:v>
                </c:pt>
                <c:pt idx="25">
                  <c:v>13.06</c:v>
                </c:pt>
                <c:pt idx="26">
                  <c:v>15.18</c:v>
                </c:pt>
                <c:pt idx="27">
                  <c:v>17.66</c:v>
                </c:pt>
                <c:pt idx="28">
                  <c:v>20.53</c:v>
                </c:pt>
                <c:pt idx="29">
                  <c:v>23.88</c:v>
                </c:pt>
                <c:pt idx="30">
                  <c:v>27.77</c:v>
                </c:pt>
                <c:pt idx="31">
                  <c:v>32.299999999999997</c:v>
                </c:pt>
                <c:pt idx="32">
                  <c:v>37.56</c:v>
                </c:pt>
                <c:pt idx="33">
                  <c:v>43.68</c:v>
                </c:pt>
                <c:pt idx="34">
                  <c:v>50.79</c:v>
                </c:pt>
                <c:pt idx="35">
                  <c:v>59.07</c:v>
                </c:pt>
                <c:pt idx="36">
                  <c:v>68.69</c:v>
                </c:pt>
                <c:pt idx="37">
                  <c:v>79.88</c:v>
                </c:pt>
                <c:pt idx="38">
                  <c:v>92.89</c:v>
                </c:pt>
                <c:pt idx="39">
                  <c:v>108</c:v>
                </c:pt>
                <c:pt idx="40">
                  <c:v>125.6</c:v>
                </c:pt>
                <c:pt idx="41">
                  <c:v>146.1</c:v>
                </c:pt>
                <c:pt idx="42">
                  <c:v>169.9</c:v>
                </c:pt>
                <c:pt idx="43">
                  <c:v>197.6</c:v>
                </c:pt>
                <c:pt idx="44">
                  <c:v>229.8</c:v>
                </c:pt>
                <c:pt idx="45">
                  <c:v>267.2</c:v>
                </c:pt>
                <c:pt idx="46">
                  <c:v>310.7</c:v>
                </c:pt>
                <c:pt idx="47">
                  <c:v>361.3</c:v>
                </c:pt>
                <c:pt idx="48">
                  <c:v>420.2</c:v>
                </c:pt>
                <c:pt idx="49">
                  <c:v>488.7</c:v>
                </c:pt>
                <c:pt idx="50">
                  <c:v>568.29999999999995</c:v>
                </c:pt>
                <c:pt idx="51">
                  <c:v>660.9</c:v>
                </c:pt>
                <c:pt idx="52">
                  <c:v>768.5</c:v>
                </c:pt>
                <c:pt idx="53">
                  <c:v>893.8</c:v>
                </c:pt>
                <c:pt idx="54">
                  <c:v>1039</c:v>
                </c:pt>
                <c:pt idx="55">
                  <c:v>1209</c:v>
                </c:pt>
                <c:pt idx="56">
                  <c:v>1406</c:v>
                </c:pt>
                <c:pt idx="57">
                  <c:v>1635</c:v>
                </c:pt>
                <c:pt idx="58">
                  <c:v>1901</c:v>
                </c:pt>
                <c:pt idx="59">
                  <c:v>2211</c:v>
                </c:pt>
                <c:pt idx="60">
                  <c:v>2571</c:v>
                </c:pt>
                <c:pt idx="61">
                  <c:v>2990</c:v>
                </c:pt>
                <c:pt idx="62">
                  <c:v>3477</c:v>
                </c:pt>
                <c:pt idx="63">
                  <c:v>4043</c:v>
                </c:pt>
                <c:pt idx="64">
                  <c:v>4702</c:v>
                </c:pt>
                <c:pt idx="65">
                  <c:v>5468</c:v>
                </c:pt>
                <c:pt idx="66">
                  <c:v>6358</c:v>
                </c:pt>
                <c:pt idx="67">
                  <c:v>7394</c:v>
                </c:pt>
                <c:pt idx="68">
                  <c:v>8599</c:v>
                </c:pt>
                <c:pt idx="69">
                  <c:v>10000</c:v>
                </c:pt>
              </c:numCache>
            </c:numRef>
          </c:xVal>
          <c:yVal>
            <c:numRef>
              <c:f>Summary!$Q$2:$Q$71</c:f>
              <c:numCache>
                <c:formatCode>General</c:formatCode>
                <c:ptCount val="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0.10772222222222222</c:v>
                </c:pt>
                <c:pt idx="41">
                  <c:v>2.257222222222222</c:v>
                </c:pt>
                <c:pt idx="42">
                  <c:v>10.389111111111109</c:v>
                </c:pt>
                <c:pt idx="43">
                  <c:v>21.562222222222221</c:v>
                </c:pt>
                <c:pt idx="44">
                  <c:v>26.518888888888892</c:v>
                </c:pt>
                <c:pt idx="45">
                  <c:v>21.652222222222221</c:v>
                </c:pt>
                <c:pt idx="46">
                  <c:v>11.666222222222222</c:v>
                </c:pt>
                <c:pt idx="47">
                  <c:v>4.5627777777777778</c:v>
                </c:pt>
                <c:pt idx="48">
                  <c:v>1.1659999999999999</c:v>
                </c:pt>
                <c:pt idx="49">
                  <c:v>0.11635555555555555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4E3-44DC-A0E4-2E2E27BD2293}"/>
            </c:ext>
          </c:extLst>
        </c:ser>
        <c:ser>
          <c:idx val="1"/>
          <c:order val="1"/>
          <c:tx>
            <c:strRef>
              <c:f>Summary!$R$1</c:f>
              <c:strCache>
                <c:ptCount val="1"/>
                <c:pt idx="0">
                  <c:v>0.7% w/w</c:v>
                </c:pt>
              </c:strCache>
            </c:strRef>
          </c:tx>
          <c:spPr>
            <a:ln w="381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Summary!$P$2:$P$71</c:f>
              <c:numCache>
                <c:formatCode>General</c:formatCode>
                <c:ptCount val="70"/>
                <c:pt idx="0">
                  <c:v>0.3</c:v>
                </c:pt>
                <c:pt idx="1">
                  <c:v>0.34889999999999999</c:v>
                </c:pt>
                <c:pt idx="2">
                  <c:v>0.40570000000000001</c:v>
                </c:pt>
                <c:pt idx="3">
                  <c:v>0.4718</c:v>
                </c:pt>
                <c:pt idx="4">
                  <c:v>0.54869999999999997</c:v>
                </c:pt>
                <c:pt idx="5">
                  <c:v>0.6381</c:v>
                </c:pt>
                <c:pt idx="6">
                  <c:v>0.74199999999999999</c:v>
                </c:pt>
                <c:pt idx="7">
                  <c:v>0.8629</c:v>
                </c:pt>
                <c:pt idx="8">
                  <c:v>1.0029999999999999</c:v>
                </c:pt>
                <c:pt idx="9">
                  <c:v>1.167</c:v>
                </c:pt>
                <c:pt idx="10">
                  <c:v>1.357</c:v>
                </c:pt>
                <c:pt idx="11">
                  <c:v>1.5780000000000001</c:v>
                </c:pt>
                <c:pt idx="12">
                  <c:v>1.835</c:v>
                </c:pt>
                <c:pt idx="13">
                  <c:v>2.1339999999999999</c:v>
                </c:pt>
                <c:pt idx="14">
                  <c:v>2.4820000000000002</c:v>
                </c:pt>
                <c:pt idx="15">
                  <c:v>2.8860000000000001</c:v>
                </c:pt>
                <c:pt idx="16">
                  <c:v>3.3570000000000002</c:v>
                </c:pt>
                <c:pt idx="17">
                  <c:v>3.903</c:v>
                </c:pt>
                <c:pt idx="18">
                  <c:v>4.5389999999999997</c:v>
                </c:pt>
                <c:pt idx="19">
                  <c:v>5.2789999999999999</c:v>
                </c:pt>
                <c:pt idx="20">
                  <c:v>6.1390000000000002</c:v>
                </c:pt>
                <c:pt idx="21">
                  <c:v>7.1390000000000002</c:v>
                </c:pt>
                <c:pt idx="22">
                  <c:v>8.3019999999999996</c:v>
                </c:pt>
                <c:pt idx="23">
                  <c:v>9.6549999999999994</c:v>
                </c:pt>
                <c:pt idx="24">
                  <c:v>11.23</c:v>
                </c:pt>
                <c:pt idx="25">
                  <c:v>13.06</c:v>
                </c:pt>
                <c:pt idx="26">
                  <c:v>15.18</c:v>
                </c:pt>
                <c:pt idx="27">
                  <c:v>17.66</c:v>
                </c:pt>
                <c:pt idx="28">
                  <c:v>20.53</c:v>
                </c:pt>
                <c:pt idx="29">
                  <c:v>23.88</c:v>
                </c:pt>
                <c:pt idx="30">
                  <c:v>27.77</c:v>
                </c:pt>
                <c:pt idx="31">
                  <c:v>32.299999999999997</c:v>
                </c:pt>
                <c:pt idx="32">
                  <c:v>37.56</c:v>
                </c:pt>
                <c:pt idx="33">
                  <c:v>43.68</c:v>
                </c:pt>
                <c:pt idx="34">
                  <c:v>50.79</c:v>
                </c:pt>
                <c:pt idx="35">
                  <c:v>59.07</c:v>
                </c:pt>
                <c:pt idx="36">
                  <c:v>68.69</c:v>
                </c:pt>
                <c:pt idx="37">
                  <c:v>79.88</c:v>
                </c:pt>
                <c:pt idx="38">
                  <c:v>92.89</c:v>
                </c:pt>
                <c:pt idx="39">
                  <c:v>108</c:v>
                </c:pt>
                <c:pt idx="40">
                  <c:v>125.6</c:v>
                </c:pt>
                <c:pt idx="41">
                  <c:v>146.1</c:v>
                </c:pt>
                <c:pt idx="42">
                  <c:v>169.9</c:v>
                </c:pt>
                <c:pt idx="43">
                  <c:v>197.6</c:v>
                </c:pt>
                <c:pt idx="44">
                  <c:v>229.8</c:v>
                </c:pt>
                <c:pt idx="45">
                  <c:v>267.2</c:v>
                </c:pt>
                <c:pt idx="46">
                  <c:v>310.7</c:v>
                </c:pt>
                <c:pt idx="47">
                  <c:v>361.3</c:v>
                </c:pt>
                <c:pt idx="48">
                  <c:v>420.2</c:v>
                </c:pt>
                <c:pt idx="49">
                  <c:v>488.7</c:v>
                </c:pt>
                <c:pt idx="50">
                  <c:v>568.29999999999995</c:v>
                </c:pt>
                <c:pt idx="51">
                  <c:v>660.9</c:v>
                </c:pt>
                <c:pt idx="52">
                  <c:v>768.5</c:v>
                </c:pt>
                <c:pt idx="53">
                  <c:v>893.8</c:v>
                </c:pt>
                <c:pt idx="54">
                  <c:v>1039</c:v>
                </c:pt>
                <c:pt idx="55">
                  <c:v>1209</c:v>
                </c:pt>
                <c:pt idx="56">
                  <c:v>1406</c:v>
                </c:pt>
                <c:pt idx="57">
                  <c:v>1635</c:v>
                </c:pt>
                <c:pt idx="58">
                  <c:v>1901</c:v>
                </c:pt>
                <c:pt idx="59">
                  <c:v>2211</c:v>
                </c:pt>
                <c:pt idx="60">
                  <c:v>2571</c:v>
                </c:pt>
                <c:pt idx="61">
                  <c:v>2990</c:v>
                </c:pt>
                <c:pt idx="62">
                  <c:v>3477</c:v>
                </c:pt>
                <c:pt idx="63">
                  <c:v>4043</c:v>
                </c:pt>
                <c:pt idx="64">
                  <c:v>4702</c:v>
                </c:pt>
                <c:pt idx="65">
                  <c:v>5468</c:v>
                </c:pt>
                <c:pt idx="66">
                  <c:v>6358</c:v>
                </c:pt>
                <c:pt idx="67">
                  <c:v>7394</c:v>
                </c:pt>
                <c:pt idx="68">
                  <c:v>8599</c:v>
                </c:pt>
                <c:pt idx="69">
                  <c:v>10000</c:v>
                </c:pt>
              </c:numCache>
            </c:numRef>
          </c:xVal>
          <c:yVal>
            <c:numRef>
              <c:f>Summary!$R$2:$R$71</c:f>
              <c:numCache>
                <c:formatCode>General</c:formatCode>
                <c:ptCount val="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0.45500000000000002</c:v>
                </c:pt>
                <c:pt idx="41">
                  <c:v>3.3704444444444448</c:v>
                </c:pt>
                <c:pt idx="42">
                  <c:v>9.3699999999999992</c:v>
                </c:pt>
                <c:pt idx="43">
                  <c:v>15.630222222222223</c:v>
                </c:pt>
                <c:pt idx="44">
                  <c:v>19.161111111111111</c:v>
                </c:pt>
                <c:pt idx="45">
                  <c:v>18.612222222222226</c:v>
                </c:pt>
                <c:pt idx="46">
                  <c:v>14.688000000000001</c:v>
                </c:pt>
                <c:pt idx="47">
                  <c:v>9.5058888888888884</c:v>
                </c:pt>
                <c:pt idx="48">
                  <c:v>5.2708777777777778</c:v>
                </c:pt>
                <c:pt idx="49">
                  <c:v>2.5693333333333332</c:v>
                </c:pt>
                <c:pt idx="50">
                  <c:v>1.0531444444444444</c:v>
                </c:pt>
                <c:pt idx="51">
                  <c:v>0.27761111111111109</c:v>
                </c:pt>
                <c:pt idx="52">
                  <c:v>3.4766666666666668E-2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94E3-44DC-A0E4-2E2E27BD2293}"/>
            </c:ext>
          </c:extLst>
        </c:ser>
        <c:ser>
          <c:idx val="2"/>
          <c:order val="2"/>
          <c:tx>
            <c:strRef>
              <c:f>Summary!$S$1</c:f>
              <c:strCache>
                <c:ptCount val="1"/>
                <c:pt idx="0">
                  <c:v>2.3% w/w</c:v>
                </c:pt>
              </c:strCache>
            </c:strRef>
          </c:tx>
          <c:spPr>
            <a:ln w="3810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Summary!$P$2:$P$71</c:f>
              <c:numCache>
                <c:formatCode>General</c:formatCode>
                <c:ptCount val="70"/>
                <c:pt idx="0">
                  <c:v>0.3</c:v>
                </c:pt>
                <c:pt idx="1">
                  <c:v>0.34889999999999999</c:v>
                </c:pt>
                <c:pt idx="2">
                  <c:v>0.40570000000000001</c:v>
                </c:pt>
                <c:pt idx="3">
                  <c:v>0.4718</c:v>
                </c:pt>
                <c:pt idx="4">
                  <c:v>0.54869999999999997</c:v>
                </c:pt>
                <c:pt idx="5">
                  <c:v>0.6381</c:v>
                </c:pt>
                <c:pt idx="6">
                  <c:v>0.74199999999999999</c:v>
                </c:pt>
                <c:pt idx="7">
                  <c:v>0.8629</c:v>
                </c:pt>
                <c:pt idx="8">
                  <c:v>1.0029999999999999</c:v>
                </c:pt>
                <c:pt idx="9">
                  <c:v>1.167</c:v>
                </c:pt>
                <c:pt idx="10">
                  <c:v>1.357</c:v>
                </c:pt>
                <c:pt idx="11">
                  <c:v>1.5780000000000001</c:v>
                </c:pt>
                <c:pt idx="12">
                  <c:v>1.835</c:v>
                </c:pt>
                <c:pt idx="13">
                  <c:v>2.1339999999999999</c:v>
                </c:pt>
                <c:pt idx="14">
                  <c:v>2.4820000000000002</c:v>
                </c:pt>
                <c:pt idx="15">
                  <c:v>2.8860000000000001</c:v>
                </c:pt>
                <c:pt idx="16">
                  <c:v>3.3570000000000002</c:v>
                </c:pt>
                <c:pt idx="17">
                  <c:v>3.903</c:v>
                </c:pt>
                <c:pt idx="18">
                  <c:v>4.5389999999999997</c:v>
                </c:pt>
                <c:pt idx="19">
                  <c:v>5.2789999999999999</c:v>
                </c:pt>
                <c:pt idx="20">
                  <c:v>6.1390000000000002</c:v>
                </c:pt>
                <c:pt idx="21">
                  <c:v>7.1390000000000002</c:v>
                </c:pt>
                <c:pt idx="22">
                  <c:v>8.3019999999999996</c:v>
                </c:pt>
                <c:pt idx="23">
                  <c:v>9.6549999999999994</c:v>
                </c:pt>
                <c:pt idx="24">
                  <c:v>11.23</c:v>
                </c:pt>
                <c:pt idx="25">
                  <c:v>13.06</c:v>
                </c:pt>
                <c:pt idx="26">
                  <c:v>15.18</c:v>
                </c:pt>
                <c:pt idx="27">
                  <c:v>17.66</c:v>
                </c:pt>
                <c:pt idx="28">
                  <c:v>20.53</c:v>
                </c:pt>
                <c:pt idx="29">
                  <c:v>23.88</c:v>
                </c:pt>
                <c:pt idx="30">
                  <c:v>27.77</c:v>
                </c:pt>
                <c:pt idx="31">
                  <c:v>32.299999999999997</c:v>
                </c:pt>
                <c:pt idx="32">
                  <c:v>37.56</c:v>
                </c:pt>
                <c:pt idx="33">
                  <c:v>43.68</c:v>
                </c:pt>
                <c:pt idx="34">
                  <c:v>50.79</c:v>
                </c:pt>
                <c:pt idx="35">
                  <c:v>59.07</c:v>
                </c:pt>
                <c:pt idx="36">
                  <c:v>68.69</c:v>
                </c:pt>
                <c:pt idx="37">
                  <c:v>79.88</c:v>
                </c:pt>
                <c:pt idx="38">
                  <c:v>92.89</c:v>
                </c:pt>
                <c:pt idx="39">
                  <c:v>108</c:v>
                </c:pt>
                <c:pt idx="40">
                  <c:v>125.6</c:v>
                </c:pt>
                <c:pt idx="41">
                  <c:v>146.1</c:v>
                </c:pt>
                <c:pt idx="42">
                  <c:v>169.9</c:v>
                </c:pt>
                <c:pt idx="43">
                  <c:v>197.6</c:v>
                </c:pt>
                <c:pt idx="44">
                  <c:v>229.8</c:v>
                </c:pt>
                <c:pt idx="45">
                  <c:v>267.2</c:v>
                </c:pt>
                <c:pt idx="46">
                  <c:v>310.7</c:v>
                </c:pt>
                <c:pt idx="47">
                  <c:v>361.3</c:v>
                </c:pt>
                <c:pt idx="48">
                  <c:v>420.2</c:v>
                </c:pt>
                <c:pt idx="49">
                  <c:v>488.7</c:v>
                </c:pt>
                <c:pt idx="50">
                  <c:v>568.29999999999995</c:v>
                </c:pt>
                <c:pt idx="51">
                  <c:v>660.9</c:v>
                </c:pt>
                <c:pt idx="52">
                  <c:v>768.5</c:v>
                </c:pt>
                <c:pt idx="53">
                  <c:v>893.8</c:v>
                </c:pt>
                <c:pt idx="54">
                  <c:v>1039</c:v>
                </c:pt>
                <c:pt idx="55">
                  <c:v>1209</c:v>
                </c:pt>
                <c:pt idx="56">
                  <c:v>1406</c:v>
                </c:pt>
                <c:pt idx="57">
                  <c:v>1635</c:v>
                </c:pt>
                <c:pt idx="58">
                  <c:v>1901</c:v>
                </c:pt>
                <c:pt idx="59">
                  <c:v>2211</c:v>
                </c:pt>
                <c:pt idx="60">
                  <c:v>2571</c:v>
                </c:pt>
                <c:pt idx="61">
                  <c:v>2990</c:v>
                </c:pt>
                <c:pt idx="62">
                  <c:v>3477</c:v>
                </c:pt>
                <c:pt idx="63">
                  <c:v>4043</c:v>
                </c:pt>
                <c:pt idx="64">
                  <c:v>4702</c:v>
                </c:pt>
                <c:pt idx="65">
                  <c:v>5468</c:v>
                </c:pt>
                <c:pt idx="66">
                  <c:v>6358</c:v>
                </c:pt>
                <c:pt idx="67">
                  <c:v>7394</c:v>
                </c:pt>
                <c:pt idx="68">
                  <c:v>8599</c:v>
                </c:pt>
                <c:pt idx="69">
                  <c:v>10000</c:v>
                </c:pt>
              </c:numCache>
            </c:numRef>
          </c:xVal>
          <c:yVal>
            <c:numRef>
              <c:f>Summary!$S$2:$S$71</c:f>
              <c:numCache>
                <c:formatCode>General</c:formatCode>
                <c:ptCount val="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0.32484333333333332</c:v>
                </c:pt>
                <c:pt idx="41">
                  <c:v>4.5228888888888887</c:v>
                </c:pt>
                <c:pt idx="42">
                  <c:v>10.946888888888887</c:v>
                </c:pt>
                <c:pt idx="43">
                  <c:v>23.863333333333333</c:v>
                </c:pt>
                <c:pt idx="44">
                  <c:v>29.278888888888886</c:v>
                </c:pt>
                <c:pt idx="45">
                  <c:v>20.803666666666668</c:v>
                </c:pt>
                <c:pt idx="46">
                  <c:v>8.0455111111111126</c:v>
                </c:pt>
                <c:pt idx="47">
                  <c:v>2.0732666666666666</c:v>
                </c:pt>
                <c:pt idx="48">
                  <c:v>0.13733333333333334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94E3-44DC-A0E4-2E2E27BD22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4185936"/>
        <c:axId val="564186416"/>
      </c:scatterChart>
      <c:valAx>
        <c:axId val="564185936"/>
        <c:scaling>
          <c:logBase val="10"/>
          <c:orientation val="minMax"/>
        </c:scaling>
        <c:delete val="0"/>
        <c:axPos val="b"/>
        <c:numFmt formatCode="#,##0" sourceLinked="0"/>
        <c:majorTickMark val="out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ysClr val="windowText" lastClr="000000"/>
                </a:solidFill>
                <a:latin typeface="Avenir LT Std 45 Book" panose="020B0502020203020204" pitchFamily="34" charset="0"/>
                <a:ea typeface="+mn-ea"/>
                <a:cs typeface="+mn-cs"/>
              </a:defRPr>
            </a:pPr>
            <a:endParaRPr lang="en-US"/>
          </a:p>
        </c:txPr>
        <c:crossAx val="564186416"/>
        <c:crosses val="autoZero"/>
        <c:crossBetween val="midCat"/>
      </c:valAx>
      <c:valAx>
        <c:axId val="56418641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5641859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1923518145287483"/>
          <c:y val="0.28384108077860826"/>
          <c:w val="0.29042508001285211"/>
          <c:h val="0.34364762780286989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venir LT Std 45 Book" panose="020B050202020302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v>NTA Concentration</c:v>
          </c:tx>
          <c:spPr>
            <a:ln w="19050" cap="rnd">
              <a:noFill/>
              <a:round/>
            </a:ln>
            <a:effectLst/>
          </c:spPr>
          <c:marker>
            <c:symbol val="triangle"/>
            <c:size val="6"/>
            <c:spPr>
              <a:solidFill>
                <a:schemeClr val="tx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Summary!$G$82:$G$93</c:f>
                <c:numCache>
                  <c:formatCode>0.00E+00</c:formatCode>
                  <c:ptCount val="12"/>
                  <c:pt idx="0">
                    <c:v>15649634.460632199</c:v>
                  </c:pt>
                  <c:pt idx="1">
                    <c:v>20508639.047282636</c:v>
                  </c:pt>
                  <c:pt idx="2">
                    <c:v>19980486.475260891</c:v>
                  </c:pt>
                  <c:pt idx="3">
                    <c:v>18142372.827096071</c:v>
                  </c:pt>
                  <c:pt idx="4">
                    <c:v>15213336.667500209</c:v>
                  </c:pt>
                  <c:pt idx="5">
                    <c:v>7926388.9392565731</c:v>
                  </c:pt>
                  <c:pt idx="6">
                    <c:v>12966001.15323627</c:v>
                  </c:pt>
                  <c:pt idx="7">
                    <c:v>19736910.32465158</c:v>
                  </c:pt>
                  <c:pt idx="8">
                    <c:v>7608027.9842588548</c:v>
                  </c:pt>
                  <c:pt idx="9">
                    <c:v>14460810.354530107</c:v>
                  </c:pt>
                  <c:pt idx="10">
                    <c:v>12482549.215490391</c:v>
                  </c:pt>
                  <c:pt idx="11">
                    <c:v>13725555.308998113</c:v>
                  </c:pt>
                </c:numCache>
              </c:numRef>
            </c:plus>
            <c:minus>
              <c:numRef>
                <c:f>Summary!$G$82:$G$93</c:f>
                <c:numCache>
                  <c:formatCode>0.00E+00</c:formatCode>
                  <c:ptCount val="12"/>
                  <c:pt idx="0">
                    <c:v>15649634.460632199</c:v>
                  </c:pt>
                  <c:pt idx="1">
                    <c:v>20508639.047282636</c:v>
                  </c:pt>
                  <c:pt idx="2">
                    <c:v>19980486.475260891</c:v>
                  </c:pt>
                  <c:pt idx="3">
                    <c:v>18142372.827096071</c:v>
                  </c:pt>
                  <c:pt idx="4">
                    <c:v>15213336.667500209</c:v>
                  </c:pt>
                  <c:pt idx="5">
                    <c:v>7926388.9392565731</c:v>
                  </c:pt>
                  <c:pt idx="6">
                    <c:v>12966001.15323627</c:v>
                  </c:pt>
                  <c:pt idx="7">
                    <c:v>19736910.32465158</c:v>
                  </c:pt>
                  <c:pt idx="8">
                    <c:v>7608027.9842588548</c:v>
                  </c:pt>
                  <c:pt idx="9">
                    <c:v>14460810.354530107</c:v>
                  </c:pt>
                  <c:pt idx="10">
                    <c:v>12482549.215490391</c:v>
                  </c:pt>
                  <c:pt idx="11">
                    <c:v>13725555.308998113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Summary!$C$85:$C$93</c:f>
              <c:strCache>
                <c:ptCount val="9"/>
                <c:pt idx="0">
                  <c:v>0.5R1</c:v>
                </c:pt>
                <c:pt idx="1">
                  <c:v>0.5R2</c:v>
                </c:pt>
                <c:pt idx="2">
                  <c:v>0.5R3</c:v>
                </c:pt>
                <c:pt idx="3">
                  <c:v>1R1</c:v>
                </c:pt>
                <c:pt idx="4">
                  <c:v>1R2</c:v>
                </c:pt>
                <c:pt idx="5">
                  <c:v>1R3</c:v>
                </c:pt>
                <c:pt idx="6">
                  <c:v>3R1</c:v>
                </c:pt>
                <c:pt idx="7">
                  <c:v>3R2</c:v>
                </c:pt>
                <c:pt idx="8">
                  <c:v>3R3</c:v>
                </c:pt>
              </c:strCache>
            </c:strRef>
          </c:cat>
          <c:val>
            <c:numRef>
              <c:f>Summary!$F$85:$F$93</c:f>
              <c:numCache>
                <c:formatCode>0.00E+00</c:formatCode>
                <c:ptCount val="9"/>
                <c:pt idx="0">
                  <c:v>261185101.00201684</c:v>
                </c:pt>
                <c:pt idx="1">
                  <c:v>98150671.001083598</c:v>
                </c:pt>
                <c:pt idx="2">
                  <c:v>74585167.724388033</c:v>
                </c:pt>
                <c:pt idx="3">
                  <c:v>126443491.42280525</c:v>
                </c:pt>
                <c:pt idx="4">
                  <c:v>205201495.26634431</c:v>
                </c:pt>
                <c:pt idx="5">
                  <c:v>62794228.246611282</c:v>
                </c:pt>
                <c:pt idx="6">
                  <c:v>162370113.84788537</c:v>
                </c:pt>
                <c:pt idx="7">
                  <c:v>123726450.02056767</c:v>
                </c:pt>
                <c:pt idx="8">
                  <c:v>73525707.311660931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D02-45CD-B70C-50F22F3F0DB4}"/>
            </c:ext>
          </c:extLst>
        </c:ser>
        <c:ser>
          <c:idx val="1"/>
          <c:order val="1"/>
          <c:tx>
            <c:v>DLS Concentration</c:v>
          </c:tx>
          <c:spPr>
            <a:ln w="19050" cap="rnd">
              <a:noFill/>
              <a:round/>
            </a:ln>
            <a:effectLst/>
          </c:spPr>
          <c:marker>
            <c:symbol val="square"/>
            <c:size val="6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Summary!$K$85:$K$93</c:f>
                <c:numCache>
                  <c:formatCode>0.00E+00</c:formatCode>
                  <c:ptCount val="9"/>
                  <c:pt idx="0">
                    <c:v>39660000</c:v>
                  </c:pt>
                  <c:pt idx="1">
                    <c:v>21500000</c:v>
                  </c:pt>
                  <c:pt idx="2">
                    <c:v>16930000</c:v>
                  </c:pt>
                  <c:pt idx="3">
                    <c:v>20520000</c:v>
                  </c:pt>
                  <c:pt idx="4">
                    <c:v>7906000</c:v>
                  </c:pt>
                  <c:pt idx="5">
                    <c:v>10010000</c:v>
                  </c:pt>
                  <c:pt idx="6">
                    <c:v>18230000</c:v>
                  </c:pt>
                  <c:pt idx="7">
                    <c:v>20400000</c:v>
                  </c:pt>
                  <c:pt idx="8">
                    <c:v>7989000</c:v>
                  </c:pt>
                </c:numCache>
              </c:numRef>
            </c:plus>
            <c:minus>
              <c:numRef>
                <c:f>Summary!$K$85:$K$93</c:f>
                <c:numCache>
                  <c:formatCode>0.00E+00</c:formatCode>
                  <c:ptCount val="9"/>
                  <c:pt idx="0">
                    <c:v>39660000</c:v>
                  </c:pt>
                  <c:pt idx="1">
                    <c:v>21500000</c:v>
                  </c:pt>
                  <c:pt idx="2">
                    <c:v>16930000</c:v>
                  </c:pt>
                  <c:pt idx="3">
                    <c:v>20520000</c:v>
                  </c:pt>
                  <c:pt idx="4">
                    <c:v>7906000</c:v>
                  </c:pt>
                  <c:pt idx="5">
                    <c:v>10010000</c:v>
                  </c:pt>
                  <c:pt idx="6">
                    <c:v>18230000</c:v>
                  </c:pt>
                  <c:pt idx="7">
                    <c:v>20400000</c:v>
                  </c:pt>
                  <c:pt idx="8">
                    <c:v>7989000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Summary!$C$85:$C$93</c:f>
              <c:strCache>
                <c:ptCount val="9"/>
                <c:pt idx="0">
                  <c:v>0.5R1</c:v>
                </c:pt>
                <c:pt idx="1">
                  <c:v>0.5R2</c:v>
                </c:pt>
                <c:pt idx="2">
                  <c:v>0.5R3</c:v>
                </c:pt>
                <c:pt idx="3">
                  <c:v>1R1</c:v>
                </c:pt>
                <c:pt idx="4">
                  <c:v>1R2</c:v>
                </c:pt>
                <c:pt idx="5">
                  <c:v>1R3</c:v>
                </c:pt>
                <c:pt idx="6">
                  <c:v>3R1</c:v>
                </c:pt>
                <c:pt idx="7">
                  <c:v>3R2</c:v>
                </c:pt>
                <c:pt idx="8">
                  <c:v>3R3</c:v>
                </c:pt>
              </c:strCache>
            </c:strRef>
          </c:cat>
          <c:val>
            <c:numRef>
              <c:f>Summary!$J$85:$J$93</c:f>
              <c:numCache>
                <c:formatCode>0.00E+00</c:formatCode>
                <c:ptCount val="9"/>
                <c:pt idx="0">
                  <c:v>259000000</c:v>
                </c:pt>
                <c:pt idx="1">
                  <c:v>116500000</c:v>
                </c:pt>
                <c:pt idx="2">
                  <c:v>64790000</c:v>
                </c:pt>
                <c:pt idx="3">
                  <c:v>141300000</c:v>
                </c:pt>
                <c:pt idx="4">
                  <c:v>197900000</c:v>
                </c:pt>
                <c:pt idx="5">
                  <c:v>81950000</c:v>
                </c:pt>
                <c:pt idx="6">
                  <c:v>153400000</c:v>
                </c:pt>
                <c:pt idx="7">
                  <c:v>114900000</c:v>
                </c:pt>
                <c:pt idx="8">
                  <c:v>69420000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D02-45CD-B70C-50F22F3F0D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upDownBars>
          <c:gapWidth val="150"/>
          <c:upBars>
            <c:spPr>
              <a:solidFill>
                <a:schemeClr val="lt1"/>
              </a:solidFill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upBars>
          <c:downBars>
            <c:spPr>
              <a:solidFill>
                <a:schemeClr val="dk1">
                  <a:lumMod val="75000"/>
                  <a:lumOff val="25000"/>
                </a:schemeClr>
              </a:solidFill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downBars>
        </c:upDownBars>
        <c:marker val="1"/>
        <c:smooth val="0"/>
        <c:axId val="827078576"/>
        <c:axId val="827080976"/>
      </c:lineChart>
      <c:catAx>
        <c:axId val="8270785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Avenir LT Std 45 Book" panose="020B0502020203020204" pitchFamily="34" charset="0"/>
                <a:ea typeface="+mn-ea"/>
                <a:cs typeface="+mn-cs"/>
              </a:defRPr>
            </a:pPr>
            <a:endParaRPr lang="en-US"/>
          </a:p>
        </c:txPr>
        <c:crossAx val="827080976"/>
        <c:crosses val="autoZero"/>
        <c:auto val="1"/>
        <c:lblAlgn val="ctr"/>
        <c:lblOffset val="100"/>
        <c:tickMarkSkip val="1"/>
        <c:noMultiLvlLbl val="0"/>
      </c:catAx>
      <c:valAx>
        <c:axId val="827080976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Avenir LT Std 45 Book" panose="020B0502020203020204" pitchFamily="34" charset="0"/>
                <a:ea typeface="+mn-ea"/>
                <a:cs typeface="+mn-cs"/>
              </a:defRPr>
            </a:pPr>
            <a:endParaRPr lang="en-US"/>
          </a:p>
        </c:txPr>
        <c:crossAx val="827078576"/>
        <c:crosses val="autoZero"/>
        <c:crossBetween val="between"/>
        <c:dispUnits>
          <c:builtInUnit val="hundredMillions"/>
        </c:dispUnits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4290812732686187"/>
          <c:y val="0.16851039805255963"/>
          <c:w val="0.33345745397062632"/>
          <c:h val="0.15011519509399299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Avenir LT Std 45 Book" panose="020B050202020302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v>NTA Size Average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6"/>
            <c:spPr>
              <a:solidFill>
                <a:schemeClr val="tx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Summary!$E$85:$E$93</c:f>
                <c:numCache>
                  <c:formatCode>General</c:formatCode>
                  <c:ptCount val="9"/>
                  <c:pt idx="0">
                    <c:v>119.50875564234721</c:v>
                  </c:pt>
                  <c:pt idx="1">
                    <c:v>126.5051262815704</c:v>
                  </c:pt>
                  <c:pt idx="2">
                    <c:v>130.07044424297371</c:v>
                  </c:pt>
                  <c:pt idx="3">
                    <c:v>120.74917111143145</c:v>
                  </c:pt>
                  <c:pt idx="4">
                    <c:v>103.28479135345984</c:v>
                  </c:pt>
                  <c:pt idx="5">
                    <c:v>124.14735461303017</c:v>
                  </c:pt>
                  <c:pt idx="6">
                    <c:v>97.664603263927972</c:v>
                  </c:pt>
                  <c:pt idx="7">
                    <c:v>104.80666392431098</c:v>
                  </c:pt>
                  <c:pt idx="8">
                    <c:v>144.12814823033395</c:v>
                  </c:pt>
                </c:numCache>
              </c:numRef>
            </c:plus>
            <c:minus>
              <c:numRef>
                <c:f>Summary!$E$85:$E$93</c:f>
                <c:numCache>
                  <c:formatCode>General</c:formatCode>
                  <c:ptCount val="9"/>
                  <c:pt idx="0">
                    <c:v>119.50875564234721</c:v>
                  </c:pt>
                  <c:pt idx="1">
                    <c:v>126.5051262815704</c:v>
                  </c:pt>
                  <c:pt idx="2">
                    <c:v>130.07044424297371</c:v>
                  </c:pt>
                  <c:pt idx="3">
                    <c:v>120.74917111143145</c:v>
                  </c:pt>
                  <c:pt idx="4">
                    <c:v>103.28479135345984</c:v>
                  </c:pt>
                  <c:pt idx="5">
                    <c:v>124.14735461303017</c:v>
                  </c:pt>
                  <c:pt idx="6">
                    <c:v>97.664603263927972</c:v>
                  </c:pt>
                  <c:pt idx="7">
                    <c:v>104.80666392431098</c:v>
                  </c:pt>
                  <c:pt idx="8">
                    <c:v>144.12814823033395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Summary!$C$85:$C$93</c:f>
              <c:strCache>
                <c:ptCount val="9"/>
                <c:pt idx="0">
                  <c:v>0.5R1</c:v>
                </c:pt>
                <c:pt idx="1">
                  <c:v>0.5R2</c:v>
                </c:pt>
                <c:pt idx="2">
                  <c:v>0.5R3</c:v>
                </c:pt>
                <c:pt idx="3">
                  <c:v>1R1</c:v>
                </c:pt>
                <c:pt idx="4">
                  <c:v>1R2</c:v>
                </c:pt>
                <c:pt idx="5">
                  <c:v>1R3</c:v>
                </c:pt>
                <c:pt idx="6">
                  <c:v>3R1</c:v>
                </c:pt>
                <c:pt idx="7">
                  <c:v>3R2</c:v>
                </c:pt>
                <c:pt idx="8">
                  <c:v>3R3</c:v>
                </c:pt>
              </c:strCache>
            </c:strRef>
          </c:cat>
          <c:val>
            <c:numRef>
              <c:f>Summary!$D$85:$D$93</c:f>
              <c:numCache>
                <c:formatCode>General</c:formatCode>
                <c:ptCount val="9"/>
                <c:pt idx="0">
                  <c:v>250.28581489899798</c:v>
                </c:pt>
                <c:pt idx="1">
                  <c:v>231.61181962157207</c:v>
                </c:pt>
                <c:pt idx="2">
                  <c:v>265.98712601994561</c:v>
                </c:pt>
                <c:pt idx="3">
                  <c:v>300.20520397866511</c:v>
                </c:pt>
                <c:pt idx="4">
                  <c:v>238.8220307992361</c:v>
                </c:pt>
                <c:pt idx="5">
                  <c:v>219.48928727590732</c:v>
                </c:pt>
                <c:pt idx="6">
                  <c:v>222.68971040214709</c:v>
                </c:pt>
                <c:pt idx="7">
                  <c:v>214.12704942116707</c:v>
                </c:pt>
                <c:pt idx="8">
                  <c:v>264.53478309109067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6A3-4F61-9825-DF3F652BFB79}"/>
            </c:ext>
          </c:extLst>
        </c:ser>
        <c:ser>
          <c:idx val="1"/>
          <c:order val="1"/>
          <c:tx>
            <c:v>DLS Z-Average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6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Summary!$I$85:$I$93</c:f>
                <c:numCache>
                  <c:formatCode>General</c:formatCode>
                  <c:ptCount val="9"/>
                  <c:pt idx="0">
                    <c:v>1.575</c:v>
                  </c:pt>
                  <c:pt idx="1">
                    <c:v>5.476</c:v>
                  </c:pt>
                  <c:pt idx="2">
                    <c:v>1.1930000000000001</c:v>
                  </c:pt>
                  <c:pt idx="3">
                    <c:v>14.34</c:v>
                  </c:pt>
                  <c:pt idx="4">
                    <c:v>2.3690000000000002</c:v>
                  </c:pt>
                  <c:pt idx="5">
                    <c:v>38.380000000000003</c:v>
                  </c:pt>
                  <c:pt idx="6">
                    <c:v>4.9569999999999999</c:v>
                  </c:pt>
                  <c:pt idx="7">
                    <c:v>8.0670000000000002</c:v>
                  </c:pt>
                  <c:pt idx="8">
                    <c:v>18.329999999999998</c:v>
                  </c:pt>
                </c:numCache>
              </c:numRef>
            </c:plus>
            <c:minus>
              <c:numRef>
                <c:f>Summary!$I$85:$I$93</c:f>
                <c:numCache>
                  <c:formatCode>General</c:formatCode>
                  <c:ptCount val="9"/>
                  <c:pt idx="0">
                    <c:v>1.575</c:v>
                  </c:pt>
                  <c:pt idx="1">
                    <c:v>5.476</c:v>
                  </c:pt>
                  <c:pt idx="2">
                    <c:v>1.1930000000000001</c:v>
                  </c:pt>
                  <c:pt idx="3">
                    <c:v>14.34</c:v>
                  </c:pt>
                  <c:pt idx="4">
                    <c:v>2.3690000000000002</c:v>
                  </c:pt>
                  <c:pt idx="5">
                    <c:v>38.380000000000003</c:v>
                  </c:pt>
                  <c:pt idx="6">
                    <c:v>4.9569999999999999</c:v>
                  </c:pt>
                  <c:pt idx="7">
                    <c:v>8.0670000000000002</c:v>
                  </c:pt>
                  <c:pt idx="8">
                    <c:v>18.329999999999998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Summary!$C$85:$C$93</c:f>
              <c:strCache>
                <c:ptCount val="9"/>
                <c:pt idx="0">
                  <c:v>0.5R1</c:v>
                </c:pt>
                <c:pt idx="1">
                  <c:v>0.5R2</c:v>
                </c:pt>
                <c:pt idx="2">
                  <c:v>0.5R3</c:v>
                </c:pt>
                <c:pt idx="3">
                  <c:v>1R1</c:v>
                </c:pt>
                <c:pt idx="4">
                  <c:v>1R2</c:v>
                </c:pt>
                <c:pt idx="5">
                  <c:v>1R3</c:v>
                </c:pt>
                <c:pt idx="6">
                  <c:v>3R1</c:v>
                </c:pt>
                <c:pt idx="7">
                  <c:v>3R2</c:v>
                </c:pt>
                <c:pt idx="8">
                  <c:v>3R3</c:v>
                </c:pt>
              </c:strCache>
            </c:strRef>
          </c:cat>
          <c:val>
            <c:numRef>
              <c:f>Summary!$H$85:$H$93</c:f>
              <c:numCache>
                <c:formatCode>General</c:formatCode>
                <c:ptCount val="9"/>
                <c:pt idx="0">
                  <c:v>251.4</c:v>
                </c:pt>
                <c:pt idx="1">
                  <c:v>295.2</c:v>
                </c:pt>
                <c:pt idx="2">
                  <c:v>344.8</c:v>
                </c:pt>
                <c:pt idx="3">
                  <c:v>301.8</c:v>
                </c:pt>
                <c:pt idx="4">
                  <c:v>249.7</c:v>
                </c:pt>
                <c:pt idx="5">
                  <c:v>280.2</c:v>
                </c:pt>
                <c:pt idx="6">
                  <c:v>230.6</c:v>
                </c:pt>
                <c:pt idx="7">
                  <c:v>283.60000000000002</c:v>
                </c:pt>
                <c:pt idx="8">
                  <c:v>416.8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6A3-4F61-9825-DF3F652BFB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7078576"/>
        <c:axId val="827080976"/>
      </c:lineChart>
      <c:catAx>
        <c:axId val="8270785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Avenir LT Std 45 Book" panose="020B0502020203020204" pitchFamily="34" charset="0"/>
                <a:ea typeface="+mn-ea"/>
                <a:cs typeface="+mn-cs"/>
              </a:defRPr>
            </a:pPr>
            <a:endParaRPr lang="en-US"/>
          </a:p>
        </c:txPr>
        <c:crossAx val="827080976"/>
        <c:crosses val="autoZero"/>
        <c:auto val="1"/>
        <c:lblAlgn val="ctr"/>
        <c:lblOffset val="100"/>
        <c:tickMarkSkip val="1"/>
        <c:noMultiLvlLbl val="0"/>
      </c:catAx>
      <c:valAx>
        <c:axId val="827080976"/>
        <c:scaling>
          <c:orientation val="minMax"/>
          <c:max val="500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Avenir LT Std 45 Book" panose="020B0502020203020204" pitchFamily="34" charset="0"/>
                <a:ea typeface="+mn-ea"/>
                <a:cs typeface="+mn-cs"/>
              </a:defRPr>
            </a:pPr>
            <a:endParaRPr lang="en-US"/>
          </a:p>
        </c:txPr>
        <c:crossAx val="8270785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55347725210139087"/>
          <c:y val="9.474371741669084E-2"/>
          <c:w val="0.33345745397062632"/>
          <c:h val="0.15011519509399299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Avenir LT Std 45 Book" panose="020B050202020302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Fig</a:t>
            </a:r>
            <a:r>
              <a:rPr lang="en-US" baseline="0"/>
              <a:t> S8c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'0.25 Con'!$I$11:$I$18</c:f>
                <c:numCache>
                  <c:formatCode>0.00E+00</c:formatCode>
                  <c:ptCount val="8"/>
                  <c:pt idx="0" formatCode="General">
                    <c:v>0</c:v>
                  </c:pt>
                  <c:pt idx="1">
                    <c:v>19000000</c:v>
                  </c:pt>
                  <c:pt idx="2" formatCode="General">
                    <c:v>0</c:v>
                  </c:pt>
                  <c:pt idx="3" formatCode="General">
                    <c:v>0</c:v>
                  </c:pt>
                  <c:pt idx="4">
                    <c:v>11700000</c:v>
                  </c:pt>
                  <c:pt idx="5" formatCode="General">
                    <c:v>0</c:v>
                  </c:pt>
                  <c:pt idx="6" formatCode="General">
                    <c:v>0</c:v>
                  </c:pt>
                  <c:pt idx="7">
                    <c:v>15300000</c:v>
                  </c:pt>
                </c:numCache>
              </c:numRef>
            </c:plus>
            <c:minus>
              <c:numRef>
                <c:f>'0.25 Con'!$I$11:$I$18</c:f>
                <c:numCache>
                  <c:formatCode>0.00E+00</c:formatCode>
                  <c:ptCount val="8"/>
                  <c:pt idx="0" formatCode="General">
                    <c:v>0</c:v>
                  </c:pt>
                  <c:pt idx="1">
                    <c:v>19000000</c:v>
                  </c:pt>
                  <c:pt idx="2" formatCode="General">
                    <c:v>0</c:v>
                  </c:pt>
                  <c:pt idx="3" formatCode="General">
                    <c:v>0</c:v>
                  </c:pt>
                  <c:pt idx="4">
                    <c:v>11700000</c:v>
                  </c:pt>
                  <c:pt idx="5" formatCode="General">
                    <c:v>0</c:v>
                  </c:pt>
                  <c:pt idx="6" formatCode="General">
                    <c:v>0</c:v>
                  </c:pt>
                  <c:pt idx="7">
                    <c:v>15300000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'0.25 Con'!$H$2:$H$9</c:f>
              <c:strCache>
                <c:ptCount val="8"/>
                <c:pt idx="0">
                  <c:v>R1_DLS</c:v>
                </c:pt>
                <c:pt idx="1">
                  <c:v>R1_NTA</c:v>
                </c:pt>
                <c:pt idx="2">
                  <c:v> </c:v>
                </c:pt>
                <c:pt idx="3">
                  <c:v>R2_DLS</c:v>
                </c:pt>
                <c:pt idx="4">
                  <c:v>R2_NTA</c:v>
                </c:pt>
                <c:pt idx="5">
                  <c:v> </c:v>
                </c:pt>
                <c:pt idx="6">
                  <c:v>R3_DLS</c:v>
                </c:pt>
                <c:pt idx="7">
                  <c:v>R3_NTA</c:v>
                </c:pt>
              </c:strCache>
            </c:strRef>
          </c:cat>
          <c:val>
            <c:numRef>
              <c:f>'0.25 Con'!$I$2:$I$9</c:f>
              <c:numCache>
                <c:formatCode>0.00E+00</c:formatCode>
                <c:ptCount val="8"/>
                <c:pt idx="0">
                  <c:v>213200000</c:v>
                </c:pt>
                <c:pt idx="1">
                  <c:v>250000000</c:v>
                </c:pt>
                <c:pt idx="3">
                  <c:v>140800000</c:v>
                </c:pt>
                <c:pt idx="4">
                  <c:v>100000000</c:v>
                </c:pt>
                <c:pt idx="6">
                  <c:v>84190000</c:v>
                </c:pt>
                <c:pt idx="7">
                  <c:v>65500000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D0D-44EA-9300-D2AA264D2C33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'0.25 Con'!$J$11:$J$18</c:f>
                <c:numCache>
                  <c:formatCode>0.00E+00</c:formatCode>
                  <c:ptCount val="8"/>
                  <c:pt idx="0" formatCode="General">
                    <c:v>0</c:v>
                  </c:pt>
                  <c:pt idx="1">
                    <c:v>20300000</c:v>
                  </c:pt>
                  <c:pt idx="2" formatCode="General">
                    <c:v>0</c:v>
                  </c:pt>
                  <c:pt idx="3" formatCode="General">
                    <c:v>0</c:v>
                  </c:pt>
                  <c:pt idx="4">
                    <c:v>19200000</c:v>
                  </c:pt>
                  <c:pt idx="5" formatCode="General">
                    <c:v>0</c:v>
                  </c:pt>
                  <c:pt idx="6" formatCode="General">
                    <c:v>0</c:v>
                  </c:pt>
                  <c:pt idx="7">
                    <c:v>6420000</c:v>
                  </c:pt>
                </c:numCache>
              </c:numRef>
            </c:plus>
            <c:minus>
              <c:numRef>
                <c:f>'0.25 Con'!$K$11:$K$18</c:f>
                <c:numCache>
                  <c:formatCode>0.00E+00</c:formatCode>
                  <c:ptCount val="8"/>
                  <c:pt idx="0" formatCode="General">
                    <c:v>0</c:v>
                  </c:pt>
                  <c:pt idx="1">
                    <c:v>15000000</c:v>
                  </c:pt>
                  <c:pt idx="2" formatCode="General">
                    <c:v>0</c:v>
                  </c:pt>
                  <c:pt idx="3" formatCode="General">
                    <c:v>0</c:v>
                  </c:pt>
                  <c:pt idx="4">
                    <c:v>14800000</c:v>
                  </c:pt>
                  <c:pt idx="5" formatCode="General">
                    <c:v>0</c:v>
                  </c:pt>
                  <c:pt idx="6" formatCode="General">
                    <c:v>0</c:v>
                  </c:pt>
                  <c:pt idx="7">
                    <c:v>3270000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'0.25 Con'!$H$2:$H$9</c:f>
              <c:strCache>
                <c:ptCount val="8"/>
                <c:pt idx="0">
                  <c:v>R1_DLS</c:v>
                </c:pt>
                <c:pt idx="1">
                  <c:v>R1_NTA</c:v>
                </c:pt>
                <c:pt idx="2">
                  <c:v> </c:v>
                </c:pt>
                <c:pt idx="3">
                  <c:v>R2_DLS</c:v>
                </c:pt>
                <c:pt idx="4">
                  <c:v>R2_NTA</c:v>
                </c:pt>
                <c:pt idx="5">
                  <c:v> </c:v>
                </c:pt>
                <c:pt idx="6">
                  <c:v>R3_DLS</c:v>
                </c:pt>
                <c:pt idx="7">
                  <c:v>R3_NTA</c:v>
                </c:pt>
              </c:strCache>
            </c:strRef>
          </c:cat>
          <c:val>
            <c:numRef>
              <c:f>'0.25 Con'!$J$2:$J$9</c:f>
              <c:numCache>
                <c:formatCode>0.00E+00</c:formatCode>
                <c:ptCount val="8"/>
                <c:pt idx="0">
                  <c:v>282900000</c:v>
                </c:pt>
                <c:pt idx="1">
                  <c:v>275000000</c:v>
                </c:pt>
                <c:pt idx="3">
                  <c:v>99760000</c:v>
                </c:pt>
                <c:pt idx="4">
                  <c:v>95200000</c:v>
                </c:pt>
                <c:pt idx="6">
                  <c:v>57240000</c:v>
                </c:pt>
                <c:pt idx="7">
                  <c:v>77100000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D0D-44EA-9300-D2AA264D2C33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'0.25 Con'!$K$11:$K$18</c:f>
                <c:numCache>
                  <c:formatCode>0.00E+00</c:formatCode>
                  <c:ptCount val="8"/>
                  <c:pt idx="0" formatCode="General">
                    <c:v>0</c:v>
                  </c:pt>
                  <c:pt idx="1">
                    <c:v>15000000</c:v>
                  </c:pt>
                  <c:pt idx="2" formatCode="General">
                    <c:v>0</c:v>
                  </c:pt>
                  <c:pt idx="3" formatCode="General">
                    <c:v>0</c:v>
                  </c:pt>
                  <c:pt idx="4">
                    <c:v>14800000</c:v>
                  </c:pt>
                  <c:pt idx="5" formatCode="General">
                    <c:v>0</c:v>
                  </c:pt>
                  <c:pt idx="6" formatCode="General">
                    <c:v>0</c:v>
                  </c:pt>
                  <c:pt idx="7">
                    <c:v>3270000</c:v>
                  </c:pt>
                </c:numCache>
              </c:numRef>
            </c:plus>
            <c:minus>
              <c:numRef>
                <c:f>'0.25 Con'!$K$11:$K$18</c:f>
                <c:numCache>
                  <c:formatCode>0.00E+00</c:formatCode>
                  <c:ptCount val="8"/>
                  <c:pt idx="0" formatCode="General">
                    <c:v>0</c:v>
                  </c:pt>
                  <c:pt idx="1">
                    <c:v>15000000</c:v>
                  </c:pt>
                  <c:pt idx="2" formatCode="General">
                    <c:v>0</c:v>
                  </c:pt>
                  <c:pt idx="3" formatCode="General">
                    <c:v>0</c:v>
                  </c:pt>
                  <c:pt idx="4">
                    <c:v>14800000</c:v>
                  </c:pt>
                  <c:pt idx="5" formatCode="General">
                    <c:v>0</c:v>
                  </c:pt>
                  <c:pt idx="6" formatCode="General">
                    <c:v>0</c:v>
                  </c:pt>
                  <c:pt idx="7">
                    <c:v>3270000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'0.25 Con'!$H$2:$H$9</c:f>
              <c:strCache>
                <c:ptCount val="8"/>
                <c:pt idx="0">
                  <c:v>R1_DLS</c:v>
                </c:pt>
                <c:pt idx="1">
                  <c:v>R1_NTA</c:v>
                </c:pt>
                <c:pt idx="2">
                  <c:v> </c:v>
                </c:pt>
                <c:pt idx="3">
                  <c:v>R2_DLS</c:v>
                </c:pt>
                <c:pt idx="4">
                  <c:v>R2_NTA</c:v>
                </c:pt>
                <c:pt idx="5">
                  <c:v> </c:v>
                </c:pt>
                <c:pt idx="6">
                  <c:v>R3_DLS</c:v>
                </c:pt>
                <c:pt idx="7">
                  <c:v>R3_NTA</c:v>
                </c:pt>
              </c:strCache>
            </c:strRef>
          </c:cat>
          <c:val>
            <c:numRef>
              <c:f>'0.25 Con'!$K$2:$K$9</c:f>
              <c:numCache>
                <c:formatCode>0.00E+00</c:formatCode>
                <c:ptCount val="8"/>
                <c:pt idx="0">
                  <c:v>281000000</c:v>
                </c:pt>
                <c:pt idx="1">
                  <c:v>257000000</c:v>
                </c:pt>
                <c:pt idx="3">
                  <c:v>109000000</c:v>
                </c:pt>
                <c:pt idx="4">
                  <c:v>99200000</c:v>
                </c:pt>
                <c:pt idx="6">
                  <c:v>52950000</c:v>
                </c:pt>
                <c:pt idx="7">
                  <c:v>79700000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D0D-44EA-9300-D2AA264D2C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7078576"/>
        <c:axId val="827080976"/>
      </c:lineChart>
      <c:catAx>
        <c:axId val="8270785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Avenir LT Std 45 Book" panose="020B0502020203020204" pitchFamily="34" charset="0"/>
                <a:ea typeface="+mn-ea"/>
                <a:cs typeface="+mn-cs"/>
              </a:defRPr>
            </a:pPr>
            <a:endParaRPr lang="en-US"/>
          </a:p>
        </c:txPr>
        <c:crossAx val="827080976"/>
        <c:crosses val="autoZero"/>
        <c:auto val="1"/>
        <c:lblAlgn val="ctr"/>
        <c:lblOffset val="100"/>
        <c:tickMarkSkip val="1"/>
        <c:noMultiLvlLbl val="0"/>
      </c:catAx>
      <c:valAx>
        <c:axId val="827080976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Avenir LT Std 45 Book" panose="020B0502020203020204" pitchFamily="34" charset="0"/>
                <a:ea typeface="+mn-ea"/>
                <a:cs typeface="+mn-cs"/>
              </a:defRPr>
            </a:pPr>
            <a:endParaRPr lang="en-US"/>
          </a:p>
        </c:txPr>
        <c:crossAx val="827078576"/>
        <c:crosses val="autoZero"/>
        <c:crossBetween val="between"/>
        <c:dispUnits>
          <c:builtInUnit val="hundredMillions"/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'0.7 Con'!$I$11:$I$18</c:f>
                <c:numCache>
                  <c:formatCode>0.00E+00</c:formatCode>
                  <c:ptCount val="8"/>
                  <c:pt idx="0" formatCode="General">
                    <c:v>0</c:v>
                  </c:pt>
                  <c:pt idx="1">
                    <c:v>16600000</c:v>
                  </c:pt>
                  <c:pt idx="2" formatCode="General">
                    <c:v>0</c:v>
                  </c:pt>
                  <c:pt idx="3" formatCode="General">
                    <c:v>0</c:v>
                  </c:pt>
                  <c:pt idx="4">
                    <c:v>10300000</c:v>
                  </c:pt>
                  <c:pt idx="5" formatCode="General">
                    <c:v>0</c:v>
                  </c:pt>
                  <c:pt idx="6" formatCode="General">
                    <c:v>0</c:v>
                  </c:pt>
                  <c:pt idx="7">
                    <c:v>10000000</c:v>
                  </c:pt>
                </c:numCache>
              </c:numRef>
            </c:plus>
            <c:minus>
              <c:numRef>
                <c:f>'0.7 Con'!$I$11:$I$18</c:f>
                <c:numCache>
                  <c:formatCode>0.00E+00</c:formatCode>
                  <c:ptCount val="8"/>
                  <c:pt idx="0" formatCode="General">
                    <c:v>0</c:v>
                  </c:pt>
                  <c:pt idx="1">
                    <c:v>16600000</c:v>
                  </c:pt>
                  <c:pt idx="2" formatCode="General">
                    <c:v>0</c:v>
                  </c:pt>
                  <c:pt idx="3" formatCode="General">
                    <c:v>0</c:v>
                  </c:pt>
                  <c:pt idx="4">
                    <c:v>10300000</c:v>
                  </c:pt>
                  <c:pt idx="5" formatCode="General">
                    <c:v>0</c:v>
                  </c:pt>
                  <c:pt idx="6" formatCode="General">
                    <c:v>0</c:v>
                  </c:pt>
                  <c:pt idx="7">
                    <c:v>10000000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'0.7 Con'!$H$2:$H$9</c:f>
              <c:strCache>
                <c:ptCount val="8"/>
                <c:pt idx="0">
                  <c:v>R1_DLS</c:v>
                </c:pt>
                <c:pt idx="1">
                  <c:v>R1_NTA</c:v>
                </c:pt>
                <c:pt idx="3">
                  <c:v>R2_DLS</c:v>
                </c:pt>
                <c:pt idx="4">
                  <c:v>R2_NTA</c:v>
                </c:pt>
                <c:pt idx="5">
                  <c:v> </c:v>
                </c:pt>
                <c:pt idx="6">
                  <c:v>R3_DLS</c:v>
                </c:pt>
                <c:pt idx="7">
                  <c:v>R3_NTA</c:v>
                </c:pt>
              </c:strCache>
            </c:strRef>
          </c:cat>
          <c:val>
            <c:numRef>
              <c:f>'0.7 Con'!$I$2:$I$9</c:f>
              <c:numCache>
                <c:formatCode>0.00E+00</c:formatCode>
                <c:ptCount val="8"/>
                <c:pt idx="0">
                  <c:v>164100000</c:v>
                </c:pt>
                <c:pt idx="1">
                  <c:v>113000000</c:v>
                </c:pt>
                <c:pt idx="3">
                  <c:v>197600000</c:v>
                </c:pt>
                <c:pt idx="4">
                  <c:v>180000000</c:v>
                </c:pt>
                <c:pt idx="6">
                  <c:v>49460000</c:v>
                </c:pt>
                <c:pt idx="7">
                  <c:v>72400000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E08-4D0E-AA27-8DC5342308B6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'0.7 Con'!$J$11:$J$18</c:f>
                <c:numCache>
                  <c:formatCode>0.00E+00</c:formatCode>
                  <c:ptCount val="8"/>
                  <c:pt idx="0" formatCode="General">
                    <c:v>0</c:v>
                  </c:pt>
                  <c:pt idx="1">
                    <c:v>11100000</c:v>
                  </c:pt>
                  <c:pt idx="2" formatCode="General">
                    <c:v>0</c:v>
                  </c:pt>
                  <c:pt idx="3" formatCode="General">
                    <c:v>0</c:v>
                  </c:pt>
                  <c:pt idx="4">
                    <c:v>21000000</c:v>
                  </c:pt>
                  <c:pt idx="5" formatCode="General">
                    <c:v>0</c:v>
                  </c:pt>
                  <c:pt idx="6" formatCode="General">
                    <c:v>0</c:v>
                  </c:pt>
                  <c:pt idx="7">
                    <c:v>8690000</c:v>
                  </c:pt>
                </c:numCache>
              </c:numRef>
            </c:plus>
            <c:minus>
              <c:numRef>
                <c:f>'0.7 Con'!$K$11:$K$18</c:f>
                <c:numCache>
                  <c:formatCode>0.00E+00</c:formatCode>
                  <c:ptCount val="8"/>
                  <c:pt idx="0" formatCode="General">
                    <c:v>0</c:v>
                  </c:pt>
                  <c:pt idx="1">
                    <c:v>11500000</c:v>
                  </c:pt>
                  <c:pt idx="2" formatCode="General">
                    <c:v>0</c:v>
                  </c:pt>
                  <c:pt idx="3" formatCode="General">
                    <c:v>0</c:v>
                  </c:pt>
                  <c:pt idx="4">
                    <c:v>25800000</c:v>
                  </c:pt>
                  <c:pt idx="5" formatCode="General">
                    <c:v>0</c:v>
                  </c:pt>
                  <c:pt idx="6" formatCode="General">
                    <c:v>0</c:v>
                  </c:pt>
                  <c:pt idx="7">
                    <c:v>4140000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'0.7 Con'!$H$2:$H$9</c:f>
              <c:strCache>
                <c:ptCount val="8"/>
                <c:pt idx="0">
                  <c:v>R1_DLS</c:v>
                </c:pt>
                <c:pt idx="1">
                  <c:v>R1_NTA</c:v>
                </c:pt>
                <c:pt idx="3">
                  <c:v>R2_DLS</c:v>
                </c:pt>
                <c:pt idx="4">
                  <c:v>R2_NTA</c:v>
                </c:pt>
                <c:pt idx="5">
                  <c:v> </c:v>
                </c:pt>
                <c:pt idx="6">
                  <c:v>R3_DLS</c:v>
                </c:pt>
                <c:pt idx="7">
                  <c:v>R3_NTA</c:v>
                </c:pt>
              </c:strCache>
            </c:strRef>
          </c:cat>
          <c:val>
            <c:numRef>
              <c:f>'0.7 Con'!$J$2:$J$9</c:f>
              <c:numCache>
                <c:formatCode>0.00E+00</c:formatCode>
                <c:ptCount val="8"/>
                <c:pt idx="0">
                  <c:v>124300000</c:v>
                </c:pt>
                <c:pt idx="1">
                  <c:v>136000000</c:v>
                </c:pt>
                <c:pt idx="3">
                  <c:v>190100000</c:v>
                </c:pt>
                <c:pt idx="4">
                  <c:v>209000000</c:v>
                </c:pt>
                <c:pt idx="6">
                  <c:v>125500000</c:v>
                </c:pt>
                <c:pt idx="7">
                  <c:v>59700000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E08-4D0E-AA27-8DC5342308B6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'0.7 Con'!$K$11:$K$18</c:f>
                <c:numCache>
                  <c:formatCode>0.00E+00</c:formatCode>
                  <c:ptCount val="8"/>
                  <c:pt idx="0" formatCode="General">
                    <c:v>0</c:v>
                  </c:pt>
                  <c:pt idx="1">
                    <c:v>11500000</c:v>
                  </c:pt>
                  <c:pt idx="2" formatCode="General">
                    <c:v>0</c:v>
                  </c:pt>
                  <c:pt idx="3" formatCode="General">
                    <c:v>0</c:v>
                  </c:pt>
                  <c:pt idx="4">
                    <c:v>25800000</c:v>
                  </c:pt>
                  <c:pt idx="5" formatCode="General">
                    <c:v>0</c:v>
                  </c:pt>
                  <c:pt idx="6" formatCode="General">
                    <c:v>0</c:v>
                  </c:pt>
                  <c:pt idx="7">
                    <c:v>4140000</c:v>
                  </c:pt>
                </c:numCache>
              </c:numRef>
            </c:plus>
            <c:minus>
              <c:numRef>
                <c:f>'0.7 Con'!$K$11:$K$18</c:f>
                <c:numCache>
                  <c:formatCode>0.00E+00</c:formatCode>
                  <c:ptCount val="8"/>
                  <c:pt idx="0" formatCode="General">
                    <c:v>0</c:v>
                  </c:pt>
                  <c:pt idx="1">
                    <c:v>11500000</c:v>
                  </c:pt>
                  <c:pt idx="2" formatCode="General">
                    <c:v>0</c:v>
                  </c:pt>
                  <c:pt idx="3" formatCode="General">
                    <c:v>0</c:v>
                  </c:pt>
                  <c:pt idx="4">
                    <c:v>25800000</c:v>
                  </c:pt>
                  <c:pt idx="5" formatCode="General">
                    <c:v>0</c:v>
                  </c:pt>
                  <c:pt idx="6" formatCode="General">
                    <c:v>0</c:v>
                  </c:pt>
                  <c:pt idx="7">
                    <c:v>4140000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'0.7 Con'!$H$2:$H$9</c:f>
              <c:strCache>
                <c:ptCount val="8"/>
                <c:pt idx="0">
                  <c:v>R1_DLS</c:v>
                </c:pt>
                <c:pt idx="1">
                  <c:v>R1_NTA</c:v>
                </c:pt>
                <c:pt idx="3">
                  <c:v>R2_DLS</c:v>
                </c:pt>
                <c:pt idx="4">
                  <c:v>R2_NTA</c:v>
                </c:pt>
                <c:pt idx="5">
                  <c:v> </c:v>
                </c:pt>
                <c:pt idx="6">
                  <c:v>R3_DLS</c:v>
                </c:pt>
                <c:pt idx="7">
                  <c:v>R3_NTA</c:v>
                </c:pt>
              </c:strCache>
            </c:strRef>
          </c:cat>
          <c:val>
            <c:numRef>
              <c:f>'0.7 Con'!$K$2:$K$9</c:f>
              <c:numCache>
                <c:formatCode>0.00E+00</c:formatCode>
                <c:ptCount val="8"/>
                <c:pt idx="0">
                  <c:v>135500000</c:v>
                </c:pt>
                <c:pt idx="1">
                  <c:v>129000000</c:v>
                </c:pt>
                <c:pt idx="3">
                  <c:v>205900000</c:v>
                </c:pt>
                <c:pt idx="4">
                  <c:v>221000000</c:v>
                </c:pt>
                <c:pt idx="6">
                  <c:v>94710000</c:v>
                </c:pt>
                <c:pt idx="7">
                  <c:v>56900000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E08-4D0E-AA27-8DC5342308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7078576"/>
        <c:axId val="827080976"/>
      </c:lineChart>
      <c:catAx>
        <c:axId val="8270785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Avenir LT Std 45 Book" panose="020B0502020203020204" pitchFamily="34" charset="0"/>
                <a:ea typeface="+mn-ea"/>
                <a:cs typeface="+mn-cs"/>
              </a:defRPr>
            </a:pPr>
            <a:endParaRPr lang="en-US"/>
          </a:p>
        </c:txPr>
        <c:crossAx val="827080976"/>
        <c:crosses val="autoZero"/>
        <c:auto val="1"/>
        <c:lblAlgn val="ctr"/>
        <c:lblOffset val="100"/>
        <c:tickMarkSkip val="1"/>
        <c:noMultiLvlLbl val="0"/>
      </c:catAx>
      <c:valAx>
        <c:axId val="827080976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Avenir LT Std 45 Book" panose="020B0502020203020204" pitchFamily="34" charset="0"/>
                <a:ea typeface="+mn-ea"/>
                <a:cs typeface="+mn-cs"/>
              </a:defRPr>
            </a:pPr>
            <a:endParaRPr lang="en-US"/>
          </a:p>
        </c:txPr>
        <c:crossAx val="827078576"/>
        <c:crosses val="autoZero"/>
        <c:crossBetween val="between"/>
        <c:dispUnits>
          <c:builtInUnit val="hundredMillions"/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'2.7 conc'!$I$11:$I$18</c:f>
                <c:numCache>
                  <c:formatCode>0.00E+00</c:formatCode>
                  <c:ptCount val="8"/>
                  <c:pt idx="0" formatCode="General">
                    <c:v>0</c:v>
                  </c:pt>
                  <c:pt idx="1">
                    <c:v>8270000</c:v>
                  </c:pt>
                  <c:pt idx="2" formatCode="General">
                    <c:v>0</c:v>
                  </c:pt>
                  <c:pt idx="3" formatCode="General">
                    <c:v>0</c:v>
                  </c:pt>
                  <c:pt idx="4">
                    <c:v>11700000</c:v>
                  </c:pt>
                  <c:pt idx="5" formatCode="General">
                    <c:v>0</c:v>
                  </c:pt>
                  <c:pt idx="6" formatCode="General">
                    <c:v>0</c:v>
                  </c:pt>
                  <c:pt idx="7">
                    <c:v>12100000</c:v>
                  </c:pt>
                </c:numCache>
              </c:numRef>
            </c:plus>
            <c:minus>
              <c:numRef>
                <c:f>'2.7 conc'!$I$11:$I$18</c:f>
                <c:numCache>
                  <c:formatCode>0.00E+00</c:formatCode>
                  <c:ptCount val="8"/>
                  <c:pt idx="0" formatCode="General">
                    <c:v>0</c:v>
                  </c:pt>
                  <c:pt idx="1">
                    <c:v>8270000</c:v>
                  </c:pt>
                  <c:pt idx="2" formatCode="General">
                    <c:v>0</c:v>
                  </c:pt>
                  <c:pt idx="3" formatCode="General">
                    <c:v>0</c:v>
                  </c:pt>
                  <c:pt idx="4">
                    <c:v>11700000</c:v>
                  </c:pt>
                  <c:pt idx="5" formatCode="General">
                    <c:v>0</c:v>
                  </c:pt>
                  <c:pt idx="6" formatCode="General">
                    <c:v>0</c:v>
                  </c:pt>
                  <c:pt idx="7">
                    <c:v>12100000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'2.7 conc'!$H$2:$H$9</c:f>
              <c:strCache>
                <c:ptCount val="8"/>
                <c:pt idx="0">
                  <c:v>R1_DLS</c:v>
                </c:pt>
                <c:pt idx="1">
                  <c:v>R1_NTA</c:v>
                </c:pt>
                <c:pt idx="2">
                  <c:v> </c:v>
                </c:pt>
                <c:pt idx="3">
                  <c:v>R2_DLS</c:v>
                </c:pt>
                <c:pt idx="4">
                  <c:v>R2_NTA</c:v>
                </c:pt>
                <c:pt idx="5">
                  <c:v> </c:v>
                </c:pt>
                <c:pt idx="6">
                  <c:v>R3_DLS</c:v>
                </c:pt>
                <c:pt idx="7">
                  <c:v>R3_NTA</c:v>
                </c:pt>
              </c:strCache>
            </c:strRef>
          </c:cat>
          <c:val>
            <c:numRef>
              <c:f>'2.7 conc'!$I$2:$I$9</c:f>
              <c:numCache>
                <c:formatCode>0.00E+00</c:formatCode>
                <c:ptCount val="8"/>
                <c:pt idx="0">
                  <c:v>138900000</c:v>
                </c:pt>
                <c:pt idx="1">
                  <c:v>163000000</c:v>
                </c:pt>
                <c:pt idx="3">
                  <c:v>123800000</c:v>
                </c:pt>
                <c:pt idx="4">
                  <c:v>127000000</c:v>
                </c:pt>
                <c:pt idx="6">
                  <c:v>77740000</c:v>
                </c:pt>
                <c:pt idx="7">
                  <c:v>71200000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AB4-49B7-8E00-276711E9F31D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'2.7 conc'!$J$11:$J$18</c:f>
                <c:numCache>
                  <c:formatCode>0.00E+00</c:formatCode>
                  <c:ptCount val="8"/>
                  <c:pt idx="0" formatCode="General">
                    <c:v>0</c:v>
                  </c:pt>
                  <c:pt idx="1">
                    <c:v>14400000</c:v>
                  </c:pt>
                  <c:pt idx="2" formatCode="General">
                    <c:v>0</c:v>
                  </c:pt>
                  <c:pt idx="3" formatCode="General">
                    <c:v>0</c:v>
                  </c:pt>
                  <c:pt idx="4">
                    <c:v>16100000</c:v>
                  </c:pt>
                  <c:pt idx="5" formatCode="General">
                    <c:v>0</c:v>
                  </c:pt>
                  <c:pt idx="6" formatCode="General">
                    <c:v>0</c:v>
                  </c:pt>
                  <c:pt idx="7">
                    <c:v>6370000</c:v>
                  </c:pt>
                </c:numCache>
              </c:numRef>
            </c:plus>
            <c:minus>
              <c:numRef>
                <c:f>'2.7 conc'!$J$11:$J$18</c:f>
                <c:numCache>
                  <c:formatCode>0.00E+00</c:formatCode>
                  <c:ptCount val="8"/>
                  <c:pt idx="0" formatCode="General">
                    <c:v>0</c:v>
                  </c:pt>
                  <c:pt idx="1">
                    <c:v>14400000</c:v>
                  </c:pt>
                  <c:pt idx="2" formatCode="General">
                    <c:v>0</c:v>
                  </c:pt>
                  <c:pt idx="3" formatCode="General">
                    <c:v>0</c:v>
                  </c:pt>
                  <c:pt idx="4">
                    <c:v>16100000</c:v>
                  </c:pt>
                  <c:pt idx="5" formatCode="General">
                    <c:v>0</c:v>
                  </c:pt>
                  <c:pt idx="6" formatCode="General">
                    <c:v>0</c:v>
                  </c:pt>
                  <c:pt idx="7">
                    <c:v>6370000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'2.7 conc'!$H$2:$H$9</c:f>
              <c:strCache>
                <c:ptCount val="8"/>
                <c:pt idx="0">
                  <c:v>R1_DLS</c:v>
                </c:pt>
                <c:pt idx="1">
                  <c:v>R1_NTA</c:v>
                </c:pt>
                <c:pt idx="2">
                  <c:v> </c:v>
                </c:pt>
                <c:pt idx="3">
                  <c:v>R2_DLS</c:v>
                </c:pt>
                <c:pt idx="4">
                  <c:v>R2_NTA</c:v>
                </c:pt>
                <c:pt idx="5">
                  <c:v> </c:v>
                </c:pt>
                <c:pt idx="6">
                  <c:v>R3_DLS</c:v>
                </c:pt>
                <c:pt idx="7">
                  <c:v>R3_NTA</c:v>
                </c:pt>
              </c:strCache>
            </c:strRef>
          </c:cat>
          <c:val>
            <c:numRef>
              <c:f>'2.7 conc'!$J$2:$J$9</c:f>
              <c:numCache>
                <c:formatCode>0.00E+00</c:formatCode>
                <c:ptCount val="8"/>
                <c:pt idx="0">
                  <c:v>147300000</c:v>
                </c:pt>
                <c:pt idx="1">
                  <c:v>158000000</c:v>
                </c:pt>
                <c:pt idx="3">
                  <c:v>91560000</c:v>
                </c:pt>
                <c:pt idx="4">
                  <c:v>120000000</c:v>
                </c:pt>
                <c:pt idx="6">
                  <c:v>68700000</c:v>
                </c:pt>
                <c:pt idx="7">
                  <c:v>77800000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AB4-49B7-8E00-276711E9F31D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'2.7 conc'!$K$11:$K$18</c:f>
                <c:numCache>
                  <c:formatCode>0.00E+00</c:formatCode>
                  <c:ptCount val="8"/>
                  <c:pt idx="0" formatCode="General">
                    <c:v>0</c:v>
                  </c:pt>
                  <c:pt idx="1">
                    <c:v>20800000</c:v>
                  </c:pt>
                  <c:pt idx="2" formatCode="General">
                    <c:v>0</c:v>
                  </c:pt>
                  <c:pt idx="3" formatCode="General">
                    <c:v>0</c:v>
                  </c:pt>
                  <c:pt idx="4">
                    <c:v>9860000</c:v>
                  </c:pt>
                  <c:pt idx="5" formatCode="General">
                    <c:v>0</c:v>
                  </c:pt>
                  <c:pt idx="6" formatCode="General">
                    <c:v>0</c:v>
                  </c:pt>
                  <c:pt idx="7">
                    <c:v>24500000</c:v>
                  </c:pt>
                </c:numCache>
              </c:numRef>
            </c:plus>
            <c:minus>
              <c:numRef>
                <c:f>'2.7 conc'!$K$11:$K$18</c:f>
                <c:numCache>
                  <c:formatCode>0.00E+00</c:formatCode>
                  <c:ptCount val="8"/>
                  <c:pt idx="0" formatCode="General">
                    <c:v>0</c:v>
                  </c:pt>
                  <c:pt idx="1">
                    <c:v>20800000</c:v>
                  </c:pt>
                  <c:pt idx="2" formatCode="General">
                    <c:v>0</c:v>
                  </c:pt>
                  <c:pt idx="3" formatCode="General">
                    <c:v>0</c:v>
                  </c:pt>
                  <c:pt idx="4">
                    <c:v>9860000</c:v>
                  </c:pt>
                  <c:pt idx="5" formatCode="General">
                    <c:v>0</c:v>
                  </c:pt>
                  <c:pt idx="6" formatCode="General">
                    <c:v>0</c:v>
                  </c:pt>
                  <c:pt idx="7">
                    <c:v>24500000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'2.7 conc'!$H$2:$H$9</c:f>
              <c:strCache>
                <c:ptCount val="8"/>
                <c:pt idx="0">
                  <c:v>R1_DLS</c:v>
                </c:pt>
                <c:pt idx="1">
                  <c:v>R1_NTA</c:v>
                </c:pt>
                <c:pt idx="2">
                  <c:v> </c:v>
                </c:pt>
                <c:pt idx="3">
                  <c:v>R2_DLS</c:v>
                </c:pt>
                <c:pt idx="4">
                  <c:v>R2_NTA</c:v>
                </c:pt>
                <c:pt idx="5">
                  <c:v> </c:v>
                </c:pt>
                <c:pt idx="6">
                  <c:v>R3_DLS</c:v>
                </c:pt>
                <c:pt idx="7">
                  <c:v>R3_NTA</c:v>
                </c:pt>
              </c:strCache>
            </c:strRef>
          </c:cat>
          <c:val>
            <c:numRef>
              <c:f>'2.7 conc'!$K$2:$K$9</c:f>
              <c:numCache>
                <c:formatCode>0.00E+00</c:formatCode>
                <c:ptCount val="8"/>
                <c:pt idx="0">
                  <c:v>173900000</c:v>
                </c:pt>
                <c:pt idx="1">
                  <c:v>166000000</c:v>
                </c:pt>
                <c:pt idx="3">
                  <c:v>129400000</c:v>
                </c:pt>
                <c:pt idx="4">
                  <c:v>124000000</c:v>
                </c:pt>
                <c:pt idx="6">
                  <c:v>61810000</c:v>
                </c:pt>
                <c:pt idx="7">
                  <c:v>70900000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AB4-49B7-8E00-276711E9F3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7078576"/>
        <c:axId val="827080976"/>
      </c:lineChart>
      <c:catAx>
        <c:axId val="8270785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Avenir LT Std 45 Book" panose="020B0502020203020204" pitchFamily="34" charset="0"/>
                <a:ea typeface="+mn-ea"/>
                <a:cs typeface="+mn-cs"/>
              </a:defRPr>
            </a:pPr>
            <a:endParaRPr lang="en-US"/>
          </a:p>
        </c:txPr>
        <c:crossAx val="827080976"/>
        <c:crosses val="autoZero"/>
        <c:auto val="1"/>
        <c:lblAlgn val="ctr"/>
        <c:lblOffset val="100"/>
        <c:tickMarkSkip val="1"/>
        <c:noMultiLvlLbl val="0"/>
      </c:catAx>
      <c:valAx>
        <c:axId val="827080976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Avenir LT Std 45 Book" panose="020B0502020203020204" pitchFamily="34" charset="0"/>
                <a:ea typeface="+mn-ea"/>
                <a:cs typeface="+mn-cs"/>
              </a:defRPr>
            </a:pPr>
            <a:endParaRPr lang="en-US"/>
          </a:p>
        </c:txPr>
        <c:crossAx val="827078576"/>
        <c:crosses val="autoZero"/>
        <c:crossBetween val="between"/>
        <c:dispUnits>
          <c:builtInUnit val="hundredMillions"/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'0.25 size'!$U$1</c:f>
              <c:strCache>
                <c:ptCount val="1"/>
                <c:pt idx="0">
                  <c:v>R1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'0.25 size'!$T$2:$T$71</c:f>
              <c:numCache>
                <c:formatCode>General</c:formatCode>
                <c:ptCount val="70"/>
                <c:pt idx="0">
                  <c:v>0.3</c:v>
                </c:pt>
                <c:pt idx="1">
                  <c:v>0.34889999999999999</c:v>
                </c:pt>
                <c:pt idx="2">
                  <c:v>0.40570000000000001</c:v>
                </c:pt>
                <c:pt idx="3">
                  <c:v>0.4718</c:v>
                </c:pt>
                <c:pt idx="4">
                  <c:v>0.54869999999999997</c:v>
                </c:pt>
                <c:pt idx="5">
                  <c:v>0.6381</c:v>
                </c:pt>
                <c:pt idx="6">
                  <c:v>0.74199999999999999</c:v>
                </c:pt>
                <c:pt idx="7">
                  <c:v>0.8629</c:v>
                </c:pt>
                <c:pt idx="8">
                  <c:v>1.0029999999999999</c:v>
                </c:pt>
                <c:pt idx="9">
                  <c:v>1.167</c:v>
                </c:pt>
                <c:pt idx="10">
                  <c:v>1.357</c:v>
                </c:pt>
                <c:pt idx="11">
                  <c:v>1.5780000000000001</c:v>
                </c:pt>
                <c:pt idx="12">
                  <c:v>1.835</c:v>
                </c:pt>
                <c:pt idx="13">
                  <c:v>2.1339999999999999</c:v>
                </c:pt>
                <c:pt idx="14">
                  <c:v>2.4820000000000002</c:v>
                </c:pt>
                <c:pt idx="15">
                  <c:v>2.8860000000000001</c:v>
                </c:pt>
                <c:pt idx="16">
                  <c:v>3.3570000000000002</c:v>
                </c:pt>
                <c:pt idx="17">
                  <c:v>3.903</c:v>
                </c:pt>
                <c:pt idx="18">
                  <c:v>4.5389999999999997</c:v>
                </c:pt>
                <c:pt idx="19">
                  <c:v>5.2789999999999999</c:v>
                </c:pt>
                <c:pt idx="20">
                  <c:v>6.1390000000000002</c:v>
                </c:pt>
                <c:pt idx="21">
                  <c:v>7.1390000000000002</c:v>
                </c:pt>
                <c:pt idx="22">
                  <c:v>8.3019999999999996</c:v>
                </c:pt>
                <c:pt idx="23">
                  <c:v>9.6549999999999994</c:v>
                </c:pt>
                <c:pt idx="24">
                  <c:v>11.23</c:v>
                </c:pt>
                <c:pt idx="25">
                  <c:v>13.06</c:v>
                </c:pt>
                <c:pt idx="26">
                  <c:v>15.18</c:v>
                </c:pt>
                <c:pt idx="27">
                  <c:v>17.66</c:v>
                </c:pt>
                <c:pt idx="28">
                  <c:v>20.53</c:v>
                </c:pt>
                <c:pt idx="29">
                  <c:v>23.88</c:v>
                </c:pt>
                <c:pt idx="30">
                  <c:v>27.77</c:v>
                </c:pt>
                <c:pt idx="31">
                  <c:v>32.299999999999997</c:v>
                </c:pt>
                <c:pt idx="32">
                  <c:v>37.56</c:v>
                </c:pt>
                <c:pt idx="33">
                  <c:v>43.68</c:v>
                </c:pt>
                <c:pt idx="34">
                  <c:v>50.79</c:v>
                </c:pt>
                <c:pt idx="35">
                  <c:v>59.07</c:v>
                </c:pt>
                <c:pt idx="36">
                  <c:v>68.69</c:v>
                </c:pt>
                <c:pt idx="37">
                  <c:v>79.88</c:v>
                </c:pt>
                <c:pt idx="38">
                  <c:v>92.89</c:v>
                </c:pt>
                <c:pt idx="39">
                  <c:v>108</c:v>
                </c:pt>
                <c:pt idx="40">
                  <c:v>125.6</c:v>
                </c:pt>
                <c:pt idx="41">
                  <c:v>146.1</c:v>
                </c:pt>
                <c:pt idx="42">
                  <c:v>169.9</c:v>
                </c:pt>
                <c:pt idx="43">
                  <c:v>197.6</c:v>
                </c:pt>
                <c:pt idx="44">
                  <c:v>229.8</c:v>
                </c:pt>
                <c:pt idx="45">
                  <c:v>267.2</c:v>
                </c:pt>
                <c:pt idx="46">
                  <c:v>310.7</c:v>
                </c:pt>
                <c:pt idx="47">
                  <c:v>361.3</c:v>
                </c:pt>
                <c:pt idx="48">
                  <c:v>420.2</c:v>
                </c:pt>
                <c:pt idx="49">
                  <c:v>488.7</c:v>
                </c:pt>
                <c:pt idx="50">
                  <c:v>568.29999999999995</c:v>
                </c:pt>
                <c:pt idx="51">
                  <c:v>660.9</c:v>
                </c:pt>
                <c:pt idx="52">
                  <c:v>768.5</c:v>
                </c:pt>
                <c:pt idx="53">
                  <c:v>893.8</c:v>
                </c:pt>
                <c:pt idx="54">
                  <c:v>1039</c:v>
                </c:pt>
                <c:pt idx="55">
                  <c:v>1209</c:v>
                </c:pt>
                <c:pt idx="56">
                  <c:v>1406</c:v>
                </c:pt>
                <c:pt idx="57">
                  <c:v>1635</c:v>
                </c:pt>
                <c:pt idx="58">
                  <c:v>1901</c:v>
                </c:pt>
                <c:pt idx="59">
                  <c:v>2211</c:v>
                </c:pt>
                <c:pt idx="60">
                  <c:v>2571</c:v>
                </c:pt>
                <c:pt idx="61">
                  <c:v>2990</c:v>
                </c:pt>
                <c:pt idx="62">
                  <c:v>3477</c:v>
                </c:pt>
                <c:pt idx="63">
                  <c:v>4043</c:v>
                </c:pt>
                <c:pt idx="64">
                  <c:v>4702</c:v>
                </c:pt>
                <c:pt idx="65">
                  <c:v>5468</c:v>
                </c:pt>
                <c:pt idx="66">
                  <c:v>6358</c:v>
                </c:pt>
                <c:pt idx="67">
                  <c:v>7394</c:v>
                </c:pt>
                <c:pt idx="68">
                  <c:v>8599</c:v>
                </c:pt>
                <c:pt idx="69">
                  <c:v>10000</c:v>
                </c:pt>
              </c:numCache>
            </c:numRef>
          </c:xVal>
          <c:yVal>
            <c:numRef>
              <c:f>'0.25 size'!$U$2:$U$71</c:f>
              <c:numCache>
                <c:formatCode>General</c:formatCode>
                <c:ptCount val="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0.32316666666666666</c:v>
                </c:pt>
                <c:pt idx="41">
                  <c:v>4.2793333333333337</c:v>
                </c:pt>
                <c:pt idx="42">
                  <c:v>10.706666666666665</c:v>
                </c:pt>
                <c:pt idx="43">
                  <c:v>16.843333333333334</c:v>
                </c:pt>
                <c:pt idx="44">
                  <c:v>20.169999999999998</c:v>
                </c:pt>
                <c:pt idx="45">
                  <c:v>19.493333333333332</c:v>
                </c:pt>
                <c:pt idx="46">
                  <c:v>15.226666666666667</c:v>
                </c:pt>
                <c:pt idx="47">
                  <c:v>9.1069999999999993</c:v>
                </c:pt>
                <c:pt idx="48">
                  <c:v>3.4979999999999998</c:v>
                </c:pt>
                <c:pt idx="49">
                  <c:v>0.34906666666666664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20F-46F3-BE4E-7F8E7D0C89D7}"/>
            </c:ext>
          </c:extLst>
        </c:ser>
        <c:ser>
          <c:idx val="1"/>
          <c:order val="1"/>
          <c:tx>
            <c:strRef>
              <c:f>'0.25 size'!$V$1</c:f>
              <c:strCache>
                <c:ptCount val="1"/>
                <c:pt idx="0">
                  <c:v>R2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'0.25 size'!$T$2:$T$71</c:f>
              <c:numCache>
                <c:formatCode>General</c:formatCode>
                <c:ptCount val="70"/>
                <c:pt idx="0">
                  <c:v>0.3</c:v>
                </c:pt>
                <c:pt idx="1">
                  <c:v>0.34889999999999999</c:v>
                </c:pt>
                <c:pt idx="2">
                  <c:v>0.40570000000000001</c:v>
                </c:pt>
                <c:pt idx="3">
                  <c:v>0.4718</c:v>
                </c:pt>
                <c:pt idx="4">
                  <c:v>0.54869999999999997</c:v>
                </c:pt>
                <c:pt idx="5">
                  <c:v>0.6381</c:v>
                </c:pt>
                <c:pt idx="6">
                  <c:v>0.74199999999999999</c:v>
                </c:pt>
                <c:pt idx="7">
                  <c:v>0.8629</c:v>
                </c:pt>
                <c:pt idx="8">
                  <c:v>1.0029999999999999</c:v>
                </c:pt>
                <c:pt idx="9">
                  <c:v>1.167</c:v>
                </c:pt>
                <c:pt idx="10">
                  <c:v>1.357</c:v>
                </c:pt>
                <c:pt idx="11">
                  <c:v>1.5780000000000001</c:v>
                </c:pt>
                <c:pt idx="12">
                  <c:v>1.835</c:v>
                </c:pt>
                <c:pt idx="13">
                  <c:v>2.1339999999999999</c:v>
                </c:pt>
                <c:pt idx="14">
                  <c:v>2.4820000000000002</c:v>
                </c:pt>
                <c:pt idx="15">
                  <c:v>2.8860000000000001</c:v>
                </c:pt>
                <c:pt idx="16">
                  <c:v>3.3570000000000002</c:v>
                </c:pt>
                <c:pt idx="17">
                  <c:v>3.903</c:v>
                </c:pt>
                <c:pt idx="18">
                  <c:v>4.5389999999999997</c:v>
                </c:pt>
                <c:pt idx="19">
                  <c:v>5.2789999999999999</c:v>
                </c:pt>
                <c:pt idx="20">
                  <c:v>6.1390000000000002</c:v>
                </c:pt>
                <c:pt idx="21">
                  <c:v>7.1390000000000002</c:v>
                </c:pt>
                <c:pt idx="22">
                  <c:v>8.3019999999999996</c:v>
                </c:pt>
                <c:pt idx="23">
                  <c:v>9.6549999999999994</c:v>
                </c:pt>
                <c:pt idx="24">
                  <c:v>11.23</c:v>
                </c:pt>
                <c:pt idx="25">
                  <c:v>13.06</c:v>
                </c:pt>
                <c:pt idx="26">
                  <c:v>15.18</c:v>
                </c:pt>
                <c:pt idx="27">
                  <c:v>17.66</c:v>
                </c:pt>
                <c:pt idx="28">
                  <c:v>20.53</c:v>
                </c:pt>
                <c:pt idx="29">
                  <c:v>23.88</c:v>
                </c:pt>
                <c:pt idx="30">
                  <c:v>27.77</c:v>
                </c:pt>
                <c:pt idx="31">
                  <c:v>32.299999999999997</c:v>
                </c:pt>
                <c:pt idx="32">
                  <c:v>37.56</c:v>
                </c:pt>
                <c:pt idx="33">
                  <c:v>43.68</c:v>
                </c:pt>
                <c:pt idx="34">
                  <c:v>50.79</c:v>
                </c:pt>
                <c:pt idx="35">
                  <c:v>59.07</c:v>
                </c:pt>
                <c:pt idx="36">
                  <c:v>68.69</c:v>
                </c:pt>
                <c:pt idx="37">
                  <c:v>79.88</c:v>
                </c:pt>
                <c:pt idx="38">
                  <c:v>92.89</c:v>
                </c:pt>
                <c:pt idx="39">
                  <c:v>108</c:v>
                </c:pt>
                <c:pt idx="40">
                  <c:v>125.6</c:v>
                </c:pt>
                <c:pt idx="41">
                  <c:v>146.1</c:v>
                </c:pt>
                <c:pt idx="42">
                  <c:v>169.9</c:v>
                </c:pt>
                <c:pt idx="43">
                  <c:v>197.6</c:v>
                </c:pt>
                <c:pt idx="44">
                  <c:v>229.8</c:v>
                </c:pt>
                <c:pt idx="45">
                  <c:v>267.2</c:v>
                </c:pt>
                <c:pt idx="46">
                  <c:v>310.7</c:v>
                </c:pt>
                <c:pt idx="47">
                  <c:v>361.3</c:v>
                </c:pt>
                <c:pt idx="48">
                  <c:v>420.2</c:v>
                </c:pt>
                <c:pt idx="49">
                  <c:v>488.7</c:v>
                </c:pt>
                <c:pt idx="50">
                  <c:v>568.29999999999995</c:v>
                </c:pt>
                <c:pt idx="51">
                  <c:v>660.9</c:v>
                </c:pt>
                <c:pt idx="52">
                  <c:v>768.5</c:v>
                </c:pt>
                <c:pt idx="53">
                  <c:v>893.8</c:v>
                </c:pt>
                <c:pt idx="54">
                  <c:v>1039</c:v>
                </c:pt>
                <c:pt idx="55">
                  <c:v>1209</c:v>
                </c:pt>
                <c:pt idx="56">
                  <c:v>1406</c:v>
                </c:pt>
                <c:pt idx="57">
                  <c:v>1635</c:v>
                </c:pt>
                <c:pt idx="58">
                  <c:v>1901</c:v>
                </c:pt>
                <c:pt idx="59">
                  <c:v>2211</c:v>
                </c:pt>
                <c:pt idx="60">
                  <c:v>2571</c:v>
                </c:pt>
                <c:pt idx="61">
                  <c:v>2990</c:v>
                </c:pt>
                <c:pt idx="62">
                  <c:v>3477</c:v>
                </c:pt>
                <c:pt idx="63">
                  <c:v>4043</c:v>
                </c:pt>
                <c:pt idx="64">
                  <c:v>4702</c:v>
                </c:pt>
                <c:pt idx="65">
                  <c:v>5468</c:v>
                </c:pt>
                <c:pt idx="66">
                  <c:v>6358</c:v>
                </c:pt>
                <c:pt idx="67">
                  <c:v>7394</c:v>
                </c:pt>
                <c:pt idx="68">
                  <c:v>8599</c:v>
                </c:pt>
                <c:pt idx="69">
                  <c:v>10000</c:v>
                </c:pt>
              </c:numCache>
            </c:numRef>
          </c:xVal>
          <c:yVal>
            <c:numRef>
              <c:f>'0.25 size'!$V$2:$V$71</c:f>
              <c:numCache>
                <c:formatCode>General</c:formatCode>
                <c:ptCount val="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2.4923333333333333</c:v>
                </c:pt>
                <c:pt idx="42">
                  <c:v>18.189999999999998</c:v>
                </c:pt>
                <c:pt idx="43">
                  <c:v>31.723333333333333</c:v>
                </c:pt>
                <c:pt idx="44">
                  <c:v>30.323333333333334</c:v>
                </c:pt>
                <c:pt idx="45">
                  <c:v>15.683333333333332</c:v>
                </c:pt>
                <c:pt idx="46">
                  <c:v>1.5886666666666667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20F-46F3-BE4E-7F8E7D0C89D7}"/>
            </c:ext>
          </c:extLst>
        </c:ser>
        <c:ser>
          <c:idx val="2"/>
          <c:order val="2"/>
          <c:tx>
            <c:strRef>
              <c:f>'0.25 size'!$W$1</c:f>
              <c:strCache>
                <c:ptCount val="1"/>
                <c:pt idx="0">
                  <c:v>R3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'0.25 size'!$T$2:$T$71</c:f>
              <c:numCache>
                <c:formatCode>General</c:formatCode>
                <c:ptCount val="70"/>
                <c:pt idx="0">
                  <c:v>0.3</c:v>
                </c:pt>
                <c:pt idx="1">
                  <c:v>0.34889999999999999</c:v>
                </c:pt>
                <c:pt idx="2">
                  <c:v>0.40570000000000001</c:v>
                </c:pt>
                <c:pt idx="3">
                  <c:v>0.4718</c:v>
                </c:pt>
                <c:pt idx="4">
                  <c:v>0.54869999999999997</c:v>
                </c:pt>
                <c:pt idx="5">
                  <c:v>0.6381</c:v>
                </c:pt>
                <c:pt idx="6">
                  <c:v>0.74199999999999999</c:v>
                </c:pt>
                <c:pt idx="7">
                  <c:v>0.8629</c:v>
                </c:pt>
                <c:pt idx="8">
                  <c:v>1.0029999999999999</c:v>
                </c:pt>
                <c:pt idx="9">
                  <c:v>1.167</c:v>
                </c:pt>
                <c:pt idx="10">
                  <c:v>1.357</c:v>
                </c:pt>
                <c:pt idx="11">
                  <c:v>1.5780000000000001</c:v>
                </c:pt>
                <c:pt idx="12">
                  <c:v>1.835</c:v>
                </c:pt>
                <c:pt idx="13">
                  <c:v>2.1339999999999999</c:v>
                </c:pt>
                <c:pt idx="14">
                  <c:v>2.4820000000000002</c:v>
                </c:pt>
                <c:pt idx="15">
                  <c:v>2.8860000000000001</c:v>
                </c:pt>
                <c:pt idx="16">
                  <c:v>3.3570000000000002</c:v>
                </c:pt>
                <c:pt idx="17">
                  <c:v>3.903</c:v>
                </c:pt>
                <c:pt idx="18">
                  <c:v>4.5389999999999997</c:v>
                </c:pt>
                <c:pt idx="19">
                  <c:v>5.2789999999999999</c:v>
                </c:pt>
                <c:pt idx="20">
                  <c:v>6.1390000000000002</c:v>
                </c:pt>
                <c:pt idx="21">
                  <c:v>7.1390000000000002</c:v>
                </c:pt>
                <c:pt idx="22">
                  <c:v>8.3019999999999996</c:v>
                </c:pt>
                <c:pt idx="23">
                  <c:v>9.6549999999999994</c:v>
                </c:pt>
                <c:pt idx="24">
                  <c:v>11.23</c:v>
                </c:pt>
                <c:pt idx="25">
                  <c:v>13.06</c:v>
                </c:pt>
                <c:pt idx="26">
                  <c:v>15.18</c:v>
                </c:pt>
                <c:pt idx="27">
                  <c:v>17.66</c:v>
                </c:pt>
                <c:pt idx="28">
                  <c:v>20.53</c:v>
                </c:pt>
                <c:pt idx="29">
                  <c:v>23.88</c:v>
                </c:pt>
                <c:pt idx="30">
                  <c:v>27.77</c:v>
                </c:pt>
                <c:pt idx="31">
                  <c:v>32.299999999999997</c:v>
                </c:pt>
                <c:pt idx="32">
                  <c:v>37.56</c:v>
                </c:pt>
                <c:pt idx="33">
                  <c:v>43.68</c:v>
                </c:pt>
                <c:pt idx="34">
                  <c:v>50.79</c:v>
                </c:pt>
                <c:pt idx="35">
                  <c:v>59.07</c:v>
                </c:pt>
                <c:pt idx="36">
                  <c:v>68.69</c:v>
                </c:pt>
                <c:pt idx="37">
                  <c:v>79.88</c:v>
                </c:pt>
                <c:pt idx="38">
                  <c:v>92.89</c:v>
                </c:pt>
                <c:pt idx="39">
                  <c:v>108</c:v>
                </c:pt>
                <c:pt idx="40">
                  <c:v>125.6</c:v>
                </c:pt>
                <c:pt idx="41">
                  <c:v>146.1</c:v>
                </c:pt>
                <c:pt idx="42">
                  <c:v>169.9</c:v>
                </c:pt>
                <c:pt idx="43">
                  <c:v>197.6</c:v>
                </c:pt>
                <c:pt idx="44">
                  <c:v>229.8</c:v>
                </c:pt>
                <c:pt idx="45">
                  <c:v>267.2</c:v>
                </c:pt>
                <c:pt idx="46">
                  <c:v>310.7</c:v>
                </c:pt>
                <c:pt idx="47">
                  <c:v>361.3</c:v>
                </c:pt>
                <c:pt idx="48">
                  <c:v>420.2</c:v>
                </c:pt>
                <c:pt idx="49">
                  <c:v>488.7</c:v>
                </c:pt>
                <c:pt idx="50">
                  <c:v>568.29999999999995</c:v>
                </c:pt>
                <c:pt idx="51">
                  <c:v>660.9</c:v>
                </c:pt>
                <c:pt idx="52">
                  <c:v>768.5</c:v>
                </c:pt>
                <c:pt idx="53">
                  <c:v>893.8</c:v>
                </c:pt>
                <c:pt idx="54">
                  <c:v>1039</c:v>
                </c:pt>
                <c:pt idx="55">
                  <c:v>1209</c:v>
                </c:pt>
                <c:pt idx="56">
                  <c:v>1406</c:v>
                </c:pt>
                <c:pt idx="57">
                  <c:v>1635</c:v>
                </c:pt>
                <c:pt idx="58">
                  <c:v>1901</c:v>
                </c:pt>
                <c:pt idx="59">
                  <c:v>2211</c:v>
                </c:pt>
                <c:pt idx="60">
                  <c:v>2571</c:v>
                </c:pt>
                <c:pt idx="61">
                  <c:v>2990</c:v>
                </c:pt>
                <c:pt idx="62">
                  <c:v>3477</c:v>
                </c:pt>
                <c:pt idx="63">
                  <c:v>4043</c:v>
                </c:pt>
                <c:pt idx="64">
                  <c:v>4702</c:v>
                </c:pt>
                <c:pt idx="65">
                  <c:v>5468</c:v>
                </c:pt>
                <c:pt idx="66">
                  <c:v>6358</c:v>
                </c:pt>
                <c:pt idx="67">
                  <c:v>7394</c:v>
                </c:pt>
                <c:pt idx="68">
                  <c:v>8599</c:v>
                </c:pt>
                <c:pt idx="69">
                  <c:v>10000</c:v>
                </c:pt>
              </c:numCache>
            </c:numRef>
          </c:xVal>
          <c:yVal>
            <c:numRef>
              <c:f>'0.25 size'!$W$2:$W$71</c:f>
              <c:numCache>
                <c:formatCode>General</c:formatCode>
                <c:ptCount val="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2.2706666666666666</c:v>
                </c:pt>
                <c:pt idx="43">
                  <c:v>16.12</c:v>
                </c:pt>
                <c:pt idx="44">
                  <c:v>29.063333333333333</c:v>
                </c:pt>
                <c:pt idx="45">
                  <c:v>29.78</c:v>
                </c:pt>
                <c:pt idx="46">
                  <c:v>18.183333333333334</c:v>
                </c:pt>
                <c:pt idx="47">
                  <c:v>4.5813333333333333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20F-46F3-BE4E-7F8E7D0C89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4185936"/>
        <c:axId val="564186416"/>
      </c:scatterChart>
      <c:valAx>
        <c:axId val="564185936"/>
        <c:scaling>
          <c:logBase val="10"/>
          <c:orientation val="minMax"/>
          <c:max val="5000"/>
          <c:min val="10"/>
        </c:scaling>
        <c:delete val="0"/>
        <c:axPos val="b"/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Avenir LT Std 45 Book" panose="020B0502020203020204" pitchFamily="34" charset="0"/>
                <a:ea typeface="+mn-ea"/>
                <a:cs typeface="+mn-cs"/>
              </a:defRPr>
            </a:pPr>
            <a:endParaRPr lang="en-US"/>
          </a:p>
        </c:txPr>
        <c:crossAx val="564186416"/>
        <c:crosses val="autoZero"/>
        <c:crossBetween val="midCat"/>
      </c:valAx>
      <c:valAx>
        <c:axId val="564186416"/>
        <c:scaling>
          <c:orientation val="minMax"/>
          <c:min val="0"/>
        </c:scaling>
        <c:delete val="1"/>
        <c:axPos val="l"/>
        <c:numFmt formatCode="General" sourceLinked="1"/>
        <c:majorTickMark val="none"/>
        <c:minorTickMark val="none"/>
        <c:tickLblPos val="none"/>
        <c:crossAx val="5641859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78164698162729662"/>
          <c:y val="0.25"/>
          <c:w val="0.15059470691163604"/>
          <c:h val="0.31423665791776029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ysClr val="windowText" lastClr="000000"/>
              </a:solidFill>
              <a:latin typeface="Avenir LT Std 45 Book" panose="020B050202020302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>
          <a:solidFill>
            <a:sysClr val="windowText" lastClr="000000"/>
          </a:solidFill>
          <a:latin typeface="Avenir LT Std 45 Book" panose="020B0502020203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'0.7 size'!$U$1</c:f>
              <c:strCache>
                <c:ptCount val="1"/>
                <c:pt idx="0">
                  <c:v>R1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'0.7 size'!$T$2:$T$71</c:f>
              <c:numCache>
                <c:formatCode>General</c:formatCode>
                <c:ptCount val="70"/>
                <c:pt idx="0">
                  <c:v>0.3</c:v>
                </c:pt>
                <c:pt idx="1">
                  <c:v>0.34889999999999999</c:v>
                </c:pt>
                <c:pt idx="2">
                  <c:v>0.40570000000000001</c:v>
                </c:pt>
                <c:pt idx="3">
                  <c:v>0.4718</c:v>
                </c:pt>
                <c:pt idx="4">
                  <c:v>0.54869999999999997</c:v>
                </c:pt>
                <c:pt idx="5">
                  <c:v>0.6381</c:v>
                </c:pt>
                <c:pt idx="6">
                  <c:v>0.74199999999999999</c:v>
                </c:pt>
                <c:pt idx="7">
                  <c:v>0.8629</c:v>
                </c:pt>
                <c:pt idx="8">
                  <c:v>1.0029999999999999</c:v>
                </c:pt>
                <c:pt idx="9">
                  <c:v>1.167</c:v>
                </c:pt>
                <c:pt idx="10">
                  <c:v>1.357</c:v>
                </c:pt>
                <c:pt idx="11">
                  <c:v>1.5780000000000001</c:v>
                </c:pt>
                <c:pt idx="12">
                  <c:v>1.835</c:v>
                </c:pt>
                <c:pt idx="13">
                  <c:v>2.1339999999999999</c:v>
                </c:pt>
                <c:pt idx="14">
                  <c:v>2.4820000000000002</c:v>
                </c:pt>
                <c:pt idx="15">
                  <c:v>2.8860000000000001</c:v>
                </c:pt>
                <c:pt idx="16">
                  <c:v>3.3570000000000002</c:v>
                </c:pt>
                <c:pt idx="17">
                  <c:v>3.903</c:v>
                </c:pt>
                <c:pt idx="18">
                  <c:v>4.5389999999999997</c:v>
                </c:pt>
                <c:pt idx="19">
                  <c:v>5.2789999999999999</c:v>
                </c:pt>
                <c:pt idx="20">
                  <c:v>6.1390000000000002</c:v>
                </c:pt>
                <c:pt idx="21">
                  <c:v>7.1390000000000002</c:v>
                </c:pt>
                <c:pt idx="22">
                  <c:v>8.3019999999999996</c:v>
                </c:pt>
                <c:pt idx="23">
                  <c:v>9.6549999999999994</c:v>
                </c:pt>
                <c:pt idx="24">
                  <c:v>11.23</c:v>
                </c:pt>
                <c:pt idx="25">
                  <c:v>13.06</c:v>
                </c:pt>
                <c:pt idx="26">
                  <c:v>15.18</c:v>
                </c:pt>
                <c:pt idx="27">
                  <c:v>17.66</c:v>
                </c:pt>
                <c:pt idx="28">
                  <c:v>20.53</c:v>
                </c:pt>
                <c:pt idx="29">
                  <c:v>23.88</c:v>
                </c:pt>
                <c:pt idx="30">
                  <c:v>27.77</c:v>
                </c:pt>
                <c:pt idx="31">
                  <c:v>32.299999999999997</c:v>
                </c:pt>
                <c:pt idx="32">
                  <c:v>37.56</c:v>
                </c:pt>
                <c:pt idx="33">
                  <c:v>43.68</c:v>
                </c:pt>
                <c:pt idx="34">
                  <c:v>50.79</c:v>
                </c:pt>
                <c:pt idx="35">
                  <c:v>59.07</c:v>
                </c:pt>
                <c:pt idx="36">
                  <c:v>68.69</c:v>
                </c:pt>
                <c:pt idx="37">
                  <c:v>79.88</c:v>
                </c:pt>
                <c:pt idx="38">
                  <c:v>92.89</c:v>
                </c:pt>
                <c:pt idx="39">
                  <c:v>108</c:v>
                </c:pt>
                <c:pt idx="40">
                  <c:v>125.6</c:v>
                </c:pt>
                <c:pt idx="41">
                  <c:v>146.1</c:v>
                </c:pt>
                <c:pt idx="42">
                  <c:v>169.9</c:v>
                </c:pt>
                <c:pt idx="43">
                  <c:v>197.6</c:v>
                </c:pt>
                <c:pt idx="44">
                  <c:v>229.8</c:v>
                </c:pt>
                <c:pt idx="45">
                  <c:v>267.2</c:v>
                </c:pt>
                <c:pt idx="46">
                  <c:v>310.7</c:v>
                </c:pt>
                <c:pt idx="47">
                  <c:v>361.3</c:v>
                </c:pt>
                <c:pt idx="48">
                  <c:v>420.2</c:v>
                </c:pt>
                <c:pt idx="49">
                  <c:v>488.7</c:v>
                </c:pt>
                <c:pt idx="50">
                  <c:v>568.29999999999995</c:v>
                </c:pt>
                <c:pt idx="51">
                  <c:v>660.9</c:v>
                </c:pt>
                <c:pt idx="52">
                  <c:v>768.5</c:v>
                </c:pt>
                <c:pt idx="53">
                  <c:v>893.8</c:v>
                </c:pt>
                <c:pt idx="54">
                  <c:v>1039</c:v>
                </c:pt>
                <c:pt idx="55">
                  <c:v>1209</c:v>
                </c:pt>
                <c:pt idx="56">
                  <c:v>1406</c:v>
                </c:pt>
                <c:pt idx="57">
                  <c:v>1635</c:v>
                </c:pt>
                <c:pt idx="58">
                  <c:v>1901</c:v>
                </c:pt>
                <c:pt idx="59">
                  <c:v>2211</c:v>
                </c:pt>
                <c:pt idx="60">
                  <c:v>2571</c:v>
                </c:pt>
                <c:pt idx="61">
                  <c:v>2990</c:v>
                </c:pt>
                <c:pt idx="62">
                  <c:v>3477</c:v>
                </c:pt>
                <c:pt idx="63">
                  <c:v>4043</c:v>
                </c:pt>
                <c:pt idx="64">
                  <c:v>4702</c:v>
                </c:pt>
                <c:pt idx="65">
                  <c:v>5468</c:v>
                </c:pt>
                <c:pt idx="66">
                  <c:v>6358</c:v>
                </c:pt>
                <c:pt idx="67">
                  <c:v>7394</c:v>
                </c:pt>
                <c:pt idx="68">
                  <c:v>8599</c:v>
                </c:pt>
                <c:pt idx="69">
                  <c:v>10000</c:v>
                </c:pt>
              </c:numCache>
            </c:numRef>
          </c:xVal>
          <c:yVal>
            <c:numRef>
              <c:f>'0.7 size'!$U$2:$U$71</c:f>
              <c:numCache>
                <c:formatCode>General</c:formatCode>
                <c:ptCount val="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1.4117</c:v>
                </c:pt>
                <c:pt idx="43">
                  <c:v>10.436999999999999</c:v>
                </c:pt>
                <c:pt idx="44">
                  <c:v>21.03</c:v>
                </c:pt>
                <c:pt idx="45">
                  <c:v>25.956666666666667</c:v>
                </c:pt>
                <c:pt idx="46">
                  <c:v>22.429999999999996</c:v>
                </c:pt>
                <c:pt idx="47">
                  <c:v>13.31</c:v>
                </c:pt>
                <c:pt idx="48">
                  <c:v>4.6740000000000004</c:v>
                </c:pt>
                <c:pt idx="49">
                  <c:v>0.75186666666666679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D39-40F2-A361-FCB52AD9312A}"/>
            </c:ext>
          </c:extLst>
        </c:ser>
        <c:ser>
          <c:idx val="1"/>
          <c:order val="1"/>
          <c:tx>
            <c:strRef>
              <c:f>'0.7 size'!$V$1</c:f>
              <c:strCache>
                <c:ptCount val="1"/>
                <c:pt idx="0">
                  <c:v>R2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'0.7 size'!$T$2:$T$71</c:f>
              <c:numCache>
                <c:formatCode>General</c:formatCode>
                <c:ptCount val="70"/>
                <c:pt idx="0">
                  <c:v>0.3</c:v>
                </c:pt>
                <c:pt idx="1">
                  <c:v>0.34889999999999999</c:v>
                </c:pt>
                <c:pt idx="2">
                  <c:v>0.40570000000000001</c:v>
                </c:pt>
                <c:pt idx="3">
                  <c:v>0.4718</c:v>
                </c:pt>
                <c:pt idx="4">
                  <c:v>0.54869999999999997</c:v>
                </c:pt>
                <c:pt idx="5">
                  <c:v>0.6381</c:v>
                </c:pt>
                <c:pt idx="6">
                  <c:v>0.74199999999999999</c:v>
                </c:pt>
                <c:pt idx="7">
                  <c:v>0.8629</c:v>
                </c:pt>
                <c:pt idx="8">
                  <c:v>1.0029999999999999</c:v>
                </c:pt>
                <c:pt idx="9">
                  <c:v>1.167</c:v>
                </c:pt>
                <c:pt idx="10">
                  <c:v>1.357</c:v>
                </c:pt>
                <c:pt idx="11">
                  <c:v>1.5780000000000001</c:v>
                </c:pt>
                <c:pt idx="12">
                  <c:v>1.835</c:v>
                </c:pt>
                <c:pt idx="13">
                  <c:v>2.1339999999999999</c:v>
                </c:pt>
                <c:pt idx="14">
                  <c:v>2.4820000000000002</c:v>
                </c:pt>
                <c:pt idx="15">
                  <c:v>2.8860000000000001</c:v>
                </c:pt>
                <c:pt idx="16">
                  <c:v>3.3570000000000002</c:v>
                </c:pt>
                <c:pt idx="17">
                  <c:v>3.903</c:v>
                </c:pt>
                <c:pt idx="18">
                  <c:v>4.5389999999999997</c:v>
                </c:pt>
                <c:pt idx="19">
                  <c:v>5.2789999999999999</c:v>
                </c:pt>
                <c:pt idx="20">
                  <c:v>6.1390000000000002</c:v>
                </c:pt>
                <c:pt idx="21">
                  <c:v>7.1390000000000002</c:v>
                </c:pt>
                <c:pt idx="22">
                  <c:v>8.3019999999999996</c:v>
                </c:pt>
                <c:pt idx="23">
                  <c:v>9.6549999999999994</c:v>
                </c:pt>
                <c:pt idx="24">
                  <c:v>11.23</c:v>
                </c:pt>
                <c:pt idx="25">
                  <c:v>13.06</c:v>
                </c:pt>
                <c:pt idx="26">
                  <c:v>15.18</c:v>
                </c:pt>
                <c:pt idx="27">
                  <c:v>17.66</c:v>
                </c:pt>
                <c:pt idx="28">
                  <c:v>20.53</c:v>
                </c:pt>
                <c:pt idx="29">
                  <c:v>23.88</c:v>
                </c:pt>
                <c:pt idx="30">
                  <c:v>27.77</c:v>
                </c:pt>
                <c:pt idx="31">
                  <c:v>32.299999999999997</c:v>
                </c:pt>
                <c:pt idx="32">
                  <c:v>37.56</c:v>
                </c:pt>
                <c:pt idx="33">
                  <c:v>43.68</c:v>
                </c:pt>
                <c:pt idx="34">
                  <c:v>50.79</c:v>
                </c:pt>
                <c:pt idx="35">
                  <c:v>59.07</c:v>
                </c:pt>
                <c:pt idx="36">
                  <c:v>68.69</c:v>
                </c:pt>
                <c:pt idx="37">
                  <c:v>79.88</c:v>
                </c:pt>
                <c:pt idx="38">
                  <c:v>92.89</c:v>
                </c:pt>
                <c:pt idx="39">
                  <c:v>108</c:v>
                </c:pt>
                <c:pt idx="40">
                  <c:v>125.6</c:v>
                </c:pt>
                <c:pt idx="41">
                  <c:v>146.1</c:v>
                </c:pt>
                <c:pt idx="42">
                  <c:v>169.9</c:v>
                </c:pt>
                <c:pt idx="43">
                  <c:v>197.6</c:v>
                </c:pt>
                <c:pt idx="44">
                  <c:v>229.8</c:v>
                </c:pt>
                <c:pt idx="45">
                  <c:v>267.2</c:v>
                </c:pt>
                <c:pt idx="46">
                  <c:v>310.7</c:v>
                </c:pt>
                <c:pt idx="47">
                  <c:v>361.3</c:v>
                </c:pt>
                <c:pt idx="48">
                  <c:v>420.2</c:v>
                </c:pt>
                <c:pt idx="49">
                  <c:v>488.7</c:v>
                </c:pt>
                <c:pt idx="50">
                  <c:v>568.29999999999995</c:v>
                </c:pt>
                <c:pt idx="51">
                  <c:v>660.9</c:v>
                </c:pt>
                <c:pt idx="52">
                  <c:v>768.5</c:v>
                </c:pt>
                <c:pt idx="53">
                  <c:v>893.8</c:v>
                </c:pt>
                <c:pt idx="54">
                  <c:v>1039</c:v>
                </c:pt>
                <c:pt idx="55">
                  <c:v>1209</c:v>
                </c:pt>
                <c:pt idx="56">
                  <c:v>1406</c:v>
                </c:pt>
                <c:pt idx="57">
                  <c:v>1635</c:v>
                </c:pt>
                <c:pt idx="58">
                  <c:v>1901</c:v>
                </c:pt>
                <c:pt idx="59">
                  <c:v>2211</c:v>
                </c:pt>
                <c:pt idx="60">
                  <c:v>2571</c:v>
                </c:pt>
                <c:pt idx="61">
                  <c:v>2990</c:v>
                </c:pt>
                <c:pt idx="62">
                  <c:v>3477</c:v>
                </c:pt>
                <c:pt idx="63">
                  <c:v>4043</c:v>
                </c:pt>
                <c:pt idx="64">
                  <c:v>4702</c:v>
                </c:pt>
                <c:pt idx="65">
                  <c:v>5468</c:v>
                </c:pt>
                <c:pt idx="66">
                  <c:v>6358</c:v>
                </c:pt>
                <c:pt idx="67">
                  <c:v>7394</c:v>
                </c:pt>
                <c:pt idx="68">
                  <c:v>8599</c:v>
                </c:pt>
                <c:pt idx="69">
                  <c:v>10000</c:v>
                </c:pt>
              </c:numCache>
            </c:numRef>
          </c:xVal>
          <c:yVal>
            <c:numRef>
              <c:f>'0.7 size'!$V$2:$V$71</c:f>
              <c:numCache>
                <c:formatCode>General</c:formatCode>
                <c:ptCount val="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0.83829999999999993</c:v>
                </c:pt>
                <c:pt idx="41">
                  <c:v>4.373333333333334</c:v>
                </c:pt>
                <c:pt idx="42">
                  <c:v>10.589666666666666</c:v>
                </c:pt>
                <c:pt idx="43">
                  <c:v>16.696666666666669</c:v>
                </c:pt>
                <c:pt idx="44">
                  <c:v>19.970000000000002</c:v>
                </c:pt>
                <c:pt idx="45">
                  <c:v>19.123333333333335</c:v>
                </c:pt>
                <c:pt idx="46">
                  <c:v>14.726666666666667</c:v>
                </c:pt>
                <c:pt idx="47">
                  <c:v>8.7563333333333322</c:v>
                </c:pt>
                <c:pt idx="48">
                  <c:v>3.6509999999999998</c:v>
                </c:pt>
                <c:pt idx="49">
                  <c:v>1.0286666666666666</c:v>
                </c:pt>
                <c:pt idx="50">
                  <c:v>0.2452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D39-40F2-A361-FCB52AD9312A}"/>
            </c:ext>
          </c:extLst>
        </c:ser>
        <c:ser>
          <c:idx val="2"/>
          <c:order val="2"/>
          <c:tx>
            <c:strRef>
              <c:f>'0.7 size'!$W$1</c:f>
              <c:strCache>
                <c:ptCount val="1"/>
                <c:pt idx="0">
                  <c:v>R3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'0.7 size'!$T$2:$T$71</c:f>
              <c:numCache>
                <c:formatCode>General</c:formatCode>
                <c:ptCount val="70"/>
                <c:pt idx="0">
                  <c:v>0.3</c:v>
                </c:pt>
                <c:pt idx="1">
                  <c:v>0.34889999999999999</c:v>
                </c:pt>
                <c:pt idx="2">
                  <c:v>0.40570000000000001</c:v>
                </c:pt>
                <c:pt idx="3">
                  <c:v>0.4718</c:v>
                </c:pt>
                <c:pt idx="4">
                  <c:v>0.54869999999999997</c:v>
                </c:pt>
                <c:pt idx="5">
                  <c:v>0.6381</c:v>
                </c:pt>
                <c:pt idx="6">
                  <c:v>0.74199999999999999</c:v>
                </c:pt>
                <c:pt idx="7">
                  <c:v>0.8629</c:v>
                </c:pt>
                <c:pt idx="8">
                  <c:v>1.0029999999999999</c:v>
                </c:pt>
                <c:pt idx="9">
                  <c:v>1.167</c:v>
                </c:pt>
                <c:pt idx="10">
                  <c:v>1.357</c:v>
                </c:pt>
                <c:pt idx="11">
                  <c:v>1.5780000000000001</c:v>
                </c:pt>
                <c:pt idx="12">
                  <c:v>1.835</c:v>
                </c:pt>
                <c:pt idx="13">
                  <c:v>2.1339999999999999</c:v>
                </c:pt>
                <c:pt idx="14">
                  <c:v>2.4820000000000002</c:v>
                </c:pt>
                <c:pt idx="15">
                  <c:v>2.8860000000000001</c:v>
                </c:pt>
                <c:pt idx="16">
                  <c:v>3.3570000000000002</c:v>
                </c:pt>
                <c:pt idx="17">
                  <c:v>3.903</c:v>
                </c:pt>
                <c:pt idx="18">
                  <c:v>4.5389999999999997</c:v>
                </c:pt>
                <c:pt idx="19">
                  <c:v>5.2789999999999999</c:v>
                </c:pt>
                <c:pt idx="20">
                  <c:v>6.1390000000000002</c:v>
                </c:pt>
                <c:pt idx="21">
                  <c:v>7.1390000000000002</c:v>
                </c:pt>
                <c:pt idx="22">
                  <c:v>8.3019999999999996</c:v>
                </c:pt>
                <c:pt idx="23">
                  <c:v>9.6549999999999994</c:v>
                </c:pt>
                <c:pt idx="24">
                  <c:v>11.23</c:v>
                </c:pt>
                <c:pt idx="25">
                  <c:v>13.06</c:v>
                </c:pt>
                <c:pt idx="26">
                  <c:v>15.18</c:v>
                </c:pt>
                <c:pt idx="27">
                  <c:v>17.66</c:v>
                </c:pt>
                <c:pt idx="28">
                  <c:v>20.53</c:v>
                </c:pt>
                <c:pt idx="29">
                  <c:v>23.88</c:v>
                </c:pt>
                <c:pt idx="30">
                  <c:v>27.77</c:v>
                </c:pt>
                <c:pt idx="31">
                  <c:v>32.299999999999997</c:v>
                </c:pt>
                <c:pt idx="32">
                  <c:v>37.56</c:v>
                </c:pt>
                <c:pt idx="33">
                  <c:v>43.68</c:v>
                </c:pt>
                <c:pt idx="34">
                  <c:v>50.79</c:v>
                </c:pt>
                <c:pt idx="35">
                  <c:v>59.07</c:v>
                </c:pt>
                <c:pt idx="36">
                  <c:v>68.69</c:v>
                </c:pt>
                <c:pt idx="37">
                  <c:v>79.88</c:v>
                </c:pt>
                <c:pt idx="38">
                  <c:v>92.89</c:v>
                </c:pt>
                <c:pt idx="39">
                  <c:v>108</c:v>
                </c:pt>
                <c:pt idx="40">
                  <c:v>125.6</c:v>
                </c:pt>
                <c:pt idx="41">
                  <c:v>146.1</c:v>
                </c:pt>
                <c:pt idx="42">
                  <c:v>169.9</c:v>
                </c:pt>
                <c:pt idx="43">
                  <c:v>197.6</c:v>
                </c:pt>
                <c:pt idx="44">
                  <c:v>229.8</c:v>
                </c:pt>
                <c:pt idx="45">
                  <c:v>267.2</c:v>
                </c:pt>
                <c:pt idx="46">
                  <c:v>310.7</c:v>
                </c:pt>
                <c:pt idx="47">
                  <c:v>361.3</c:v>
                </c:pt>
                <c:pt idx="48">
                  <c:v>420.2</c:v>
                </c:pt>
                <c:pt idx="49">
                  <c:v>488.7</c:v>
                </c:pt>
                <c:pt idx="50">
                  <c:v>568.29999999999995</c:v>
                </c:pt>
                <c:pt idx="51">
                  <c:v>660.9</c:v>
                </c:pt>
                <c:pt idx="52">
                  <c:v>768.5</c:v>
                </c:pt>
                <c:pt idx="53">
                  <c:v>893.8</c:v>
                </c:pt>
                <c:pt idx="54">
                  <c:v>1039</c:v>
                </c:pt>
                <c:pt idx="55">
                  <c:v>1209</c:v>
                </c:pt>
                <c:pt idx="56">
                  <c:v>1406</c:v>
                </c:pt>
                <c:pt idx="57">
                  <c:v>1635</c:v>
                </c:pt>
                <c:pt idx="58">
                  <c:v>1901</c:v>
                </c:pt>
                <c:pt idx="59">
                  <c:v>2211</c:v>
                </c:pt>
                <c:pt idx="60">
                  <c:v>2571</c:v>
                </c:pt>
                <c:pt idx="61">
                  <c:v>2990</c:v>
                </c:pt>
                <c:pt idx="62">
                  <c:v>3477</c:v>
                </c:pt>
                <c:pt idx="63">
                  <c:v>4043</c:v>
                </c:pt>
                <c:pt idx="64">
                  <c:v>4702</c:v>
                </c:pt>
                <c:pt idx="65">
                  <c:v>5468</c:v>
                </c:pt>
                <c:pt idx="66">
                  <c:v>6358</c:v>
                </c:pt>
                <c:pt idx="67">
                  <c:v>7394</c:v>
                </c:pt>
                <c:pt idx="68">
                  <c:v>8599</c:v>
                </c:pt>
                <c:pt idx="69">
                  <c:v>10000</c:v>
                </c:pt>
              </c:numCache>
            </c:numRef>
          </c:xVal>
          <c:yVal>
            <c:numRef>
              <c:f>'0.7 size'!$W$2:$W$71</c:f>
              <c:numCache>
                <c:formatCode>General</c:formatCode>
                <c:ptCount val="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0.49100000000000005</c:v>
                </c:pt>
                <c:pt idx="41">
                  <c:v>3.5150000000000001</c:v>
                </c:pt>
                <c:pt idx="42">
                  <c:v>15.493333333333332</c:v>
                </c:pt>
                <c:pt idx="43">
                  <c:v>26.26</c:v>
                </c:pt>
                <c:pt idx="44">
                  <c:v>26.973333333333333</c:v>
                </c:pt>
                <c:pt idx="45">
                  <c:v>17.739999999999998</c:v>
                </c:pt>
                <c:pt idx="46">
                  <c:v>6.6787333333333336</c:v>
                </c:pt>
                <c:pt idx="47">
                  <c:v>2.2556666666666669</c:v>
                </c:pt>
                <c:pt idx="48">
                  <c:v>0.58966666666666667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D39-40F2-A361-FCB52AD931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4185936"/>
        <c:axId val="564186416"/>
      </c:scatterChart>
      <c:valAx>
        <c:axId val="564185936"/>
        <c:scaling>
          <c:logBase val="10"/>
          <c:orientation val="minMax"/>
          <c:max val="5000"/>
          <c:min val="10"/>
        </c:scaling>
        <c:delete val="0"/>
        <c:axPos val="b"/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Avenir LT Std 45 Book" panose="020B0502020203020204" pitchFamily="34" charset="0"/>
                <a:ea typeface="+mn-ea"/>
                <a:cs typeface="+mn-cs"/>
              </a:defRPr>
            </a:pPr>
            <a:endParaRPr lang="en-US"/>
          </a:p>
        </c:txPr>
        <c:crossAx val="564186416"/>
        <c:crosses val="autoZero"/>
        <c:crossBetween val="midCat"/>
      </c:valAx>
      <c:valAx>
        <c:axId val="56418641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5641859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78164698162729662"/>
          <c:y val="0.25"/>
          <c:w val="0.15059470691163604"/>
          <c:h val="0.31423665791776029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ysClr val="windowText" lastClr="000000"/>
              </a:solidFill>
              <a:latin typeface="Avenir LT Std 45 Book" panose="020B050202020302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>
          <a:solidFill>
            <a:sysClr val="windowText" lastClr="000000"/>
          </a:solidFill>
          <a:latin typeface="Avenir LT Std 45 Book" panose="020B0502020203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'2.7 size'!$Z$1</c:f>
              <c:strCache>
                <c:ptCount val="1"/>
                <c:pt idx="0">
                  <c:v>R1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'2.7 size'!$Y$2:$Y$71</c:f>
              <c:numCache>
                <c:formatCode>General</c:formatCode>
                <c:ptCount val="70"/>
                <c:pt idx="0">
                  <c:v>0.3</c:v>
                </c:pt>
                <c:pt idx="1">
                  <c:v>0.34889999999999999</c:v>
                </c:pt>
                <c:pt idx="2">
                  <c:v>0.40570000000000001</c:v>
                </c:pt>
                <c:pt idx="3">
                  <c:v>0.4718</c:v>
                </c:pt>
                <c:pt idx="4">
                  <c:v>0.54869999999999997</c:v>
                </c:pt>
                <c:pt idx="5">
                  <c:v>0.6381</c:v>
                </c:pt>
                <c:pt idx="6">
                  <c:v>0.74199999999999999</c:v>
                </c:pt>
                <c:pt idx="7">
                  <c:v>0.8629</c:v>
                </c:pt>
                <c:pt idx="8">
                  <c:v>1.0029999999999999</c:v>
                </c:pt>
                <c:pt idx="9">
                  <c:v>1.167</c:v>
                </c:pt>
                <c:pt idx="10">
                  <c:v>1.357</c:v>
                </c:pt>
                <c:pt idx="11">
                  <c:v>1.5780000000000001</c:v>
                </c:pt>
                <c:pt idx="12">
                  <c:v>1.835</c:v>
                </c:pt>
                <c:pt idx="13">
                  <c:v>2.1339999999999999</c:v>
                </c:pt>
                <c:pt idx="14">
                  <c:v>2.4820000000000002</c:v>
                </c:pt>
                <c:pt idx="15">
                  <c:v>2.8860000000000001</c:v>
                </c:pt>
                <c:pt idx="16">
                  <c:v>3.3570000000000002</c:v>
                </c:pt>
                <c:pt idx="17">
                  <c:v>3.903</c:v>
                </c:pt>
                <c:pt idx="18">
                  <c:v>4.5389999999999997</c:v>
                </c:pt>
                <c:pt idx="19">
                  <c:v>5.2789999999999999</c:v>
                </c:pt>
                <c:pt idx="20">
                  <c:v>6.1390000000000002</c:v>
                </c:pt>
                <c:pt idx="21">
                  <c:v>7.1390000000000002</c:v>
                </c:pt>
                <c:pt idx="22">
                  <c:v>8.3019999999999996</c:v>
                </c:pt>
                <c:pt idx="23">
                  <c:v>9.6549999999999994</c:v>
                </c:pt>
                <c:pt idx="24">
                  <c:v>11.23</c:v>
                </c:pt>
                <c:pt idx="25">
                  <c:v>13.06</c:v>
                </c:pt>
                <c:pt idx="26">
                  <c:v>15.18</c:v>
                </c:pt>
                <c:pt idx="27">
                  <c:v>17.66</c:v>
                </c:pt>
                <c:pt idx="28">
                  <c:v>20.53</c:v>
                </c:pt>
                <c:pt idx="29">
                  <c:v>23.88</c:v>
                </c:pt>
                <c:pt idx="30">
                  <c:v>27.77</c:v>
                </c:pt>
                <c:pt idx="31">
                  <c:v>32.299999999999997</c:v>
                </c:pt>
                <c:pt idx="32">
                  <c:v>37.56</c:v>
                </c:pt>
                <c:pt idx="33">
                  <c:v>43.68</c:v>
                </c:pt>
                <c:pt idx="34">
                  <c:v>50.79</c:v>
                </c:pt>
                <c:pt idx="35">
                  <c:v>59.07</c:v>
                </c:pt>
                <c:pt idx="36">
                  <c:v>68.69</c:v>
                </c:pt>
                <c:pt idx="37">
                  <c:v>79.88</c:v>
                </c:pt>
                <c:pt idx="38">
                  <c:v>92.89</c:v>
                </c:pt>
                <c:pt idx="39">
                  <c:v>108</c:v>
                </c:pt>
                <c:pt idx="40">
                  <c:v>125.6</c:v>
                </c:pt>
                <c:pt idx="41">
                  <c:v>146.1</c:v>
                </c:pt>
                <c:pt idx="42">
                  <c:v>169.9</c:v>
                </c:pt>
                <c:pt idx="43">
                  <c:v>197.6</c:v>
                </c:pt>
                <c:pt idx="44">
                  <c:v>229.8</c:v>
                </c:pt>
                <c:pt idx="45">
                  <c:v>267.2</c:v>
                </c:pt>
                <c:pt idx="46">
                  <c:v>310.7</c:v>
                </c:pt>
                <c:pt idx="47">
                  <c:v>361.3</c:v>
                </c:pt>
                <c:pt idx="48">
                  <c:v>420.2</c:v>
                </c:pt>
                <c:pt idx="49">
                  <c:v>488.7</c:v>
                </c:pt>
                <c:pt idx="50">
                  <c:v>568.29999999999995</c:v>
                </c:pt>
                <c:pt idx="51">
                  <c:v>660.9</c:v>
                </c:pt>
                <c:pt idx="52">
                  <c:v>768.5</c:v>
                </c:pt>
                <c:pt idx="53">
                  <c:v>893.8</c:v>
                </c:pt>
                <c:pt idx="54">
                  <c:v>1039</c:v>
                </c:pt>
                <c:pt idx="55">
                  <c:v>1209</c:v>
                </c:pt>
                <c:pt idx="56">
                  <c:v>1406</c:v>
                </c:pt>
                <c:pt idx="57">
                  <c:v>1635</c:v>
                </c:pt>
                <c:pt idx="58">
                  <c:v>1901</c:v>
                </c:pt>
                <c:pt idx="59">
                  <c:v>2211</c:v>
                </c:pt>
                <c:pt idx="60">
                  <c:v>2571</c:v>
                </c:pt>
                <c:pt idx="61">
                  <c:v>2990</c:v>
                </c:pt>
                <c:pt idx="62">
                  <c:v>3477</c:v>
                </c:pt>
                <c:pt idx="63">
                  <c:v>4043</c:v>
                </c:pt>
                <c:pt idx="64">
                  <c:v>4702</c:v>
                </c:pt>
                <c:pt idx="65">
                  <c:v>5468</c:v>
                </c:pt>
                <c:pt idx="66">
                  <c:v>6358</c:v>
                </c:pt>
                <c:pt idx="67">
                  <c:v>7394</c:v>
                </c:pt>
                <c:pt idx="68">
                  <c:v>8599</c:v>
                </c:pt>
                <c:pt idx="69">
                  <c:v>10000</c:v>
                </c:pt>
              </c:numCache>
            </c:numRef>
          </c:xVal>
          <c:yVal>
            <c:numRef>
              <c:f>'2.7 size'!$Z$2:$Z$71</c:f>
              <c:numCache>
                <c:formatCode>General</c:formatCode>
                <c:ptCount val="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0.31313333333333332</c:v>
                </c:pt>
                <c:pt idx="41">
                  <c:v>6.5693333333333337</c:v>
                </c:pt>
                <c:pt idx="42">
                  <c:v>15.706666666666665</c:v>
                </c:pt>
                <c:pt idx="43">
                  <c:v>22.459999999999997</c:v>
                </c:pt>
                <c:pt idx="44">
                  <c:v>23.383333333333336</c:v>
                </c:pt>
                <c:pt idx="45">
                  <c:v>18.33666666666667</c:v>
                </c:pt>
                <c:pt idx="46">
                  <c:v>10.172666666666666</c:v>
                </c:pt>
                <c:pt idx="47">
                  <c:v>3.0579999999999998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8DD-4C16-BEB4-21314F56BA2B}"/>
            </c:ext>
          </c:extLst>
        </c:ser>
        <c:ser>
          <c:idx val="1"/>
          <c:order val="1"/>
          <c:tx>
            <c:strRef>
              <c:f>'2.7 size'!$AA$1</c:f>
              <c:strCache>
                <c:ptCount val="1"/>
                <c:pt idx="0">
                  <c:v>R2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'2.7 size'!$Y$2:$Y$71</c:f>
              <c:numCache>
                <c:formatCode>General</c:formatCode>
                <c:ptCount val="70"/>
                <c:pt idx="0">
                  <c:v>0.3</c:v>
                </c:pt>
                <c:pt idx="1">
                  <c:v>0.34889999999999999</c:v>
                </c:pt>
                <c:pt idx="2">
                  <c:v>0.40570000000000001</c:v>
                </c:pt>
                <c:pt idx="3">
                  <c:v>0.4718</c:v>
                </c:pt>
                <c:pt idx="4">
                  <c:v>0.54869999999999997</c:v>
                </c:pt>
                <c:pt idx="5">
                  <c:v>0.6381</c:v>
                </c:pt>
                <c:pt idx="6">
                  <c:v>0.74199999999999999</c:v>
                </c:pt>
                <c:pt idx="7">
                  <c:v>0.8629</c:v>
                </c:pt>
                <c:pt idx="8">
                  <c:v>1.0029999999999999</c:v>
                </c:pt>
                <c:pt idx="9">
                  <c:v>1.167</c:v>
                </c:pt>
                <c:pt idx="10">
                  <c:v>1.357</c:v>
                </c:pt>
                <c:pt idx="11">
                  <c:v>1.5780000000000001</c:v>
                </c:pt>
                <c:pt idx="12">
                  <c:v>1.835</c:v>
                </c:pt>
                <c:pt idx="13">
                  <c:v>2.1339999999999999</c:v>
                </c:pt>
                <c:pt idx="14">
                  <c:v>2.4820000000000002</c:v>
                </c:pt>
                <c:pt idx="15">
                  <c:v>2.8860000000000001</c:v>
                </c:pt>
                <c:pt idx="16">
                  <c:v>3.3570000000000002</c:v>
                </c:pt>
                <c:pt idx="17">
                  <c:v>3.903</c:v>
                </c:pt>
                <c:pt idx="18">
                  <c:v>4.5389999999999997</c:v>
                </c:pt>
                <c:pt idx="19">
                  <c:v>5.2789999999999999</c:v>
                </c:pt>
                <c:pt idx="20">
                  <c:v>6.1390000000000002</c:v>
                </c:pt>
                <c:pt idx="21">
                  <c:v>7.1390000000000002</c:v>
                </c:pt>
                <c:pt idx="22">
                  <c:v>8.3019999999999996</c:v>
                </c:pt>
                <c:pt idx="23">
                  <c:v>9.6549999999999994</c:v>
                </c:pt>
                <c:pt idx="24">
                  <c:v>11.23</c:v>
                </c:pt>
                <c:pt idx="25">
                  <c:v>13.06</c:v>
                </c:pt>
                <c:pt idx="26">
                  <c:v>15.18</c:v>
                </c:pt>
                <c:pt idx="27">
                  <c:v>17.66</c:v>
                </c:pt>
                <c:pt idx="28">
                  <c:v>20.53</c:v>
                </c:pt>
                <c:pt idx="29">
                  <c:v>23.88</c:v>
                </c:pt>
                <c:pt idx="30">
                  <c:v>27.77</c:v>
                </c:pt>
                <c:pt idx="31">
                  <c:v>32.299999999999997</c:v>
                </c:pt>
                <c:pt idx="32">
                  <c:v>37.56</c:v>
                </c:pt>
                <c:pt idx="33">
                  <c:v>43.68</c:v>
                </c:pt>
                <c:pt idx="34">
                  <c:v>50.79</c:v>
                </c:pt>
                <c:pt idx="35">
                  <c:v>59.07</c:v>
                </c:pt>
                <c:pt idx="36">
                  <c:v>68.69</c:v>
                </c:pt>
                <c:pt idx="37">
                  <c:v>79.88</c:v>
                </c:pt>
                <c:pt idx="38">
                  <c:v>92.89</c:v>
                </c:pt>
                <c:pt idx="39">
                  <c:v>108</c:v>
                </c:pt>
                <c:pt idx="40">
                  <c:v>125.6</c:v>
                </c:pt>
                <c:pt idx="41">
                  <c:v>146.1</c:v>
                </c:pt>
                <c:pt idx="42">
                  <c:v>169.9</c:v>
                </c:pt>
                <c:pt idx="43">
                  <c:v>197.6</c:v>
                </c:pt>
                <c:pt idx="44">
                  <c:v>229.8</c:v>
                </c:pt>
                <c:pt idx="45">
                  <c:v>267.2</c:v>
                </c:pt>
                <c:pt idx="46">
                  <c:v>310.7</c:v>
                </c:pt>
                <c:pt idx="47">
                  <c:v>361.3</c:v>
                </c:pt>
                <c:pt idx="48">
                  <c:v>420.2</c:v>
                </c:pt>
                <c:pt idx="49">
                  <c:v>488.7</c:v>
                </c:pt>
                <c:pt idx="50">
                  <c:v>568.29999999999995</c:v>
                </c:pt>
                <c:pt idx="51">
                  <c:v>660.9</c:v>
                </c:pt>
                <c:pt idx="52">
                  <c:v>768.5</c:v>
                </c:pt>
                <c:pt idx="53">
                  <c:v>893.8</c:v>
                </c:pt>
                <c:pt idx="54">
                  <c:v>1039</c:v>
                </c:pt>
                <c:pt idx="55">
                  <c:v>1209</c:v>
                </c:pt>
                <c:pt idx="56">
                  <c:v>1406</c:v>
                </c:pt>
                <c:pt idx="57">
                  <c:v>1635</c:v>
                </c:pt>
                <c:pt idx="58">
                  <c:v>1901</c:v>
                </c:pt>
                <c:pt idx="59">
                  <c:v>2211</c:v>
                </c:pt>
                <c:pt idx="60">
                  <c:v>2571</c:v>
                </c:pt>
                <c:pt idx="61">
                  <c:v>2990</c:v>
                </c:pt>
                <c:pt idx="62">
                  <c:v>3477</c:v>
                </c:pt>
                <c:pt idx="63">
                  <c:v>4043</c:v>
                </c:pt>
                <c:pt idx="64">
                  <c:v>4702</c:v>
                </c:pt>
                <c:pt idx="65">
                  <c:v>5468</c:v>
                </c:pt>
                <c:pt idx="66">
                  <c:v>6358</c:v>
                </c:pt>
                <c:pt idx="67">
                  <c:v>7394</c:v>
                </c:pt>
                <c:pt idx="68">
                  <c:v>8599</c:v>
                </c:pt>
                <c:pt idx="69">
                  <c:v>10000</c:v>
                </c:pt>
              </c:numCache>
            </c:numRef>
          </c:xVal>
          <c:yVal>
            <c:numRef>
              <c:f>'2.7 size'!$AA$2:$AA$71</c:f>
              <c:numCache>
                <c:formatCode>General</c:formatCode>
                <c:ptCount val="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3.1629999999999998E-2</c:v>
                </c:pt>
                <c:pt idx="41">
                  <c:v>6.1403333333333334</c:v>
                </c:pt>
                <c:pt idx="42">
                  <c:v>16.396666666666665</c:v>
                </c:pt>
                <c:pt idx="43">
                  <c:v>24.09</c:v>
                </c:pt>
                <c:pt idx="44">
                  <c:v>24.626666666666665</c:v>
                </c:pt>
                <c:pt idx="45">
                  <c:v>18.113333333333333</c:v>
                </c:pt>
                <c:pt idx="46">
                  <c:v>8.7266666666666666</c:v>
                </c:pt>
                <c:pt idx="47">
                  <c:v>1.8719999999999999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8DD-4C16-BEB4-21314F56BA2B}"/>
            </c:ext>
          </c:extLst>
        </c:ser>
        <c:ser>
          <c:idx val="2"/>
          <c:order val="2"/>
          <c:tx>
            <c:strRef>
              <c:f>'2.7 size'!$AB$1</c:f>
              <c:strCache>
                <c:ptCount val="1"/>
                <c:pt idx="0">
                  <c:v>R3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'2.7 size'!$Y$2:$Y$71</c:f>
              <c:numCache>
                <c:formatCode>General</c:formatCode>
                <c:ptCount val="70"/>
                <c:pt idx="0">
                  <c:v>0.3</c:v>
                </c:pt>
                <c:pt idx="1">
                  <c:v>0.34889999999999999</c:v>
                </c:pt>
                <c:pt idx="2">
                  <c:v>0.40570000000000001</c:v>
                </c:pt>
                <c:pt idx="3">
                  <c:v>0.4718</c:v>
                </c:pt>
                <c:pt idx="4">
                  <c:v>0.54869999999999997</c:v>
                </c:pt>
                <c:pt idx="5">
                  <c:v>0.6381</c:v>
                </c:pt>
                <c:pt idx="6">
                  <c:v>0.74199999999999999</c:v>
                </c:pt>
                <c:pt idx="7">
                  <c:v>0.8629</c:v>
                </c:pt>
                <c:pt idx="8">
                  <c:v>1.0029999999999999</c:v>
                </c:pt>
                <c:pt idx="9">
                  <c:v>1.167</c:v>
                </c:pt>
                <c:pt idx="10">
                  <c:v>1.357</c:v>
                </c:pt>
                <c:pt idx="11">
                  <c:v>1.5780000000000001</c:v>
                </c:pt>
                <c:pt idx="12">
                  <c:v>1.835</c:v>
                </c:pt>
                <c:pt idx="13">
                  <c:v>2.1339999999999999</c:v>
                </c:pt>
                <c:pt idx="14">
                  <c:v>2.4820000000000002</c:v>
                </c:pt>
                <c:pt idx="15">
                  <c:v>2.8860000000000001</c:v>
                </c:pt>
                <c:pt idx="16">
                  <c:v>3.3570000000000002</c:v>
                </c:pt>
                <c:pt idx="17">
                  <c:v>3.903</c:v>
                </c:pt>
                <c:pt idx="18">
                  <c:v>4.5389999999999997</c:v>
                </c:pt>
                <c:pt idx="19">
                  <c:v>5.2789999999999999</c:v>
                </c:pt>
                <c:pt idx="20">
                  <c:v>6.1390000000000002</c:v>
                </c:pt>
                <c:pt idx="21">
                  <c:v>7.1390000000000002</c:v>
                </c:pt>
                <c:pt idx="22">
                  <c:v>8.3019999999999996</c:v>
                </c:pt>
                <c:pt idx="23">
                  <c:v>9.6549999999999994</c:v>
                </c:pt>
                <c:pt idx="24">
                  <c:v>11.23</c:v>
                </c:pt>
                <c:pt idx="25">
                  <c:v>13.06</c:v>
                </c:pt>
                <c:pt idx="26">
                  <c:v>15.18</c:v>
                </c:pt>
                <c:pt idx="27">
                  <c:v>17.66</c:v>
                </c:pt>
                <c:pt idx="28">
                  <c:v>20.53</c:v>
                </c:pt>
                <c:pt idx="29">
                  <c:v>23.88</c:v>
                </c:pt>
                <c:pt idx="30">
                  <c:v>27.77</c:v>
                </c:pt>
                <c:pt idx="31">
                  <c:v>32.299999999999997</c:v>
                </c:pt>
                <c:pt idx="32">
                  <c:v>37.56</c:v>
                </c:pt>
                <c:pt idx="33">
                  <c:v>43.68</c:v>
                </c:pt>
                <c:pt idx="34">
                  <c:v>50.79</c:v>
                </c:pt>
                <c:pt idx="35">
                  <c:v>59.07</c:v>
                </c:pt>
                <c:pt idx="36">
                  <c:v>68.69</c:v>
                </c:pt>
                <c:pt idx="37">
                  <c:v>79.88</c:v>
                </c:pt>
                <c:pt idx="38">
                  <c:v>92.89</c:v>
                </c:pt>
                <c:pt idx="39">
                  <c:v>108</c:v>
                </c:pt>
                <c:pt idx="40">
                  <c:v>125.6</c:v>
                </c:pt>
                <c:pt idx="41">
                  <c:v>146.1</c:v>
                </c:pt>
                <c:pt idx="42">
                  <c:v>169.9</c:v>
                </c:pt>
                <c:pt idx="43">
                  <c:v>197.6</c:v>
                </c:pt>
                <c:pt idx="44">
                  <c:v>229.8</c:v>
                </c:pt>
                <c:pt idx="45">
                  <c:v>267.2</c:v>
                </c:pt>
                <c:pt idx="46">
                  <c:v>310.7</c:v>
                </c:pt>
                <c:pt idx="47">
                  <c:v>361.3</c:v>
                </c:pt>
                <c:pt idx="48">
                  <c:v>420.2</c:v>
                </c:pt>
                <c:pt idx="49">
                  <c:v>488.7</c:v>
                </c:pt>
                <c:pt idx="50">
                  <c:v>568.29999999999995</c:v>
                </c:pt>
                <c:pt idx="51">
                  <c:v>660.9</c:v>
                </c:pt>
                <c:pt idx="52">
                  <c:v>768.5</c:v>
                </c:pt>
                <c:pt idx="53">
                  <c:v>893.8</c:v>
                </c:pt>
                <c:pt idx="54">
                  <c:v>1039</c:v>
                </c:pt>
                <c:pt idx="55">
                  <c:v>1209</c:v>
                </c:pt>
                <c:pt idx="56">
                  <c:v>1406</c:v>
                </c:pt>
                <c:pt idx="57">
                  <c:v>1635</c:v>
                </c:pt>
                <c:pt idx="58">
                  <c:v>1901</c:v>
                </c:pt>
                <c:pt idx="59">
                  <c:v>2211</c:v>
                </c:pt>
                <c:pt idx="60">
                  <c:v>2571</c:v>
                </c:pt>
                <c:pt idx="61">
                  <c:v>2990</c:v>
                </c:pt>
                <c:pt idx="62">
                  <c:v>3477</c:v>
                </c:pt>
                <c:pt idx="63">
                  <c:v>4043</c:v>
                </c:pt>
                <c:pt idx="64">
                  <c:v>4702</c:v>
                </c:pt>
                <c:pt idx="65">
                  <c:v>5468</c:v>
                </c:pt>
                <c:pt idx="66">
                  <c:v>6358</c:v>
                </c:pt>
                <c:pt idx="67">
                  <c:v>7394</c:v>
                </c:pt>
                <c:pt idx="68">
                  <c:v>8599</c:v>
                </c:pt>
                <c:pt idx="69">
                  <c:v>10000</c:v>
                </c:pt>
              </c:numCache>
            </c:numRef>
          </c:xVal>
          <c:yVal>
            <c:numRef>
              <c:f>'2.7 size'!$AB$2:$AB$71</c:f>
              <c:numCache>
                <c:formatCode>General</c:formatCode>
                <c:ptCount val="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0.78633333333333333</c:v>
                </c:pt>
                <c:pt idx="41">
                  <c:v>4.4733333333333336</c:v>
                </c:pt>
                <c:pt idx="42">
                  <c:v>9.3743333333333343</c:v>
                </c:pt>
                <c:pt idx="43">
                  <c:v>28.036666666666665</c:v>
                </c:pt>
                <c:pt idx="44">
                  <c:v>34.78</c:v>
                </c:pt>
                <c:pt idx="45">
                  <c:v>19.657666666666668</c:v>
                </c:pt>
                <c:pt idx="46">
                  <c:v>2.8898666666666668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8DD-4C16-BEB4-21314F56BA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4185936"/>
        <c:axId val="564186416"/>
      </c:scatterChart>
      <c:valAx>
        <c:axId val="564185936"/>
        <c:scaling>
          <c:logBase val="10"/>
          <c:orientation val="minMax"/>
          <c:max val="5000"/>
          <c:min val="1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Avenir LT Std 45 Book" panose="020B0502020203020204" pitchFamily="34" charset="0"/>
                <a:ea typeface="+mn-ea"/>
                <a:cs typeface="+mn-cs"/>
              </a:defRPr>
            </a:pPr>
            <a:endParaRPr lang="en-US"/>
          </a:p>
        </c:txPr>
        <c:crossAx val="564186416"/>
        <c:crosses val="autoZero"/>
        <c:crossBetween val="midCat"/>
      </c:valAx>
      <c:valAx>
        <c:axId val="56418641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564185936"/>
        <c:crosses val="autoZero"/>
        <c:crossBetween val="midCat"/>
      </c:valAx>
      <c:spPr>
        <a:noFill/>
        <a:ln w="25400">
          <a:noFill/>
        </a:ln>
        <a:effectLst/>
      </c:spPr>
    </c:plotArea>
    <c:legend>
      <c:legendPos val="r"/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ysClr val="windowText" lastClr="000000"/>
              </a:solidFill>
              <a:latin typeface="Avenir LT Std 45 Book" panose="020B050202020302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>
          <a:solidFill>
            <a:sysClr val="windowText" lastClr="000000"/>
          </a:solidFill>
          <a:latin typeface="Avenir LT Std 45 Book" panose="020B0502020203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_xlchart.v1.1</cx:f>
      </cx:numDim>
    </cx:data>
    <cx:data id="1">
      <cx:strDim type="cat">
        <cx:f>_xlchart.v1.0</cx:f>
      </cx:strDim>
      <cx:numDim type="val">
        <cx:f>_xlchart.v1.2</cx:f>
      </cx:numDim>
    </cx:data>
    <cx:data id="2">
      <cx:strDim type="cat">
        <cx:f>_xlchart.v1.0</cx:f>
      </cx:strDim>
      <cx:numDim type="val">
        <cx:f>_xlchart.v1.3</cx:f>
      </cx:numDim>
    </cx:data>
  </cx:chartData>
  <cx:chart>
    <cx:plotArea>
      <cx:plotAreaRegion>
        <cx:series layoutId="boxWhisker" uniqueId="{E3B55970-6FB1-4725-8446-2339CEA8E9F0}">
          <cx:dataId val="0"/>
          <cx:layoutPr>
            <cx:statistics quartileMethod="exclusive"/>
          </cx:layoutPr>
        </cx:series>
        <cx:series layoutId="boxWhisker" uniqueId="{16FFDA34-9F85-45A9-BEBB-6C34E049A775}">
          <cx:dataId val="1"/>
          <cx:layoutPr>
            <cx:statistics quartileMethod="exclusive"/>
          </cx:layoutPr>
        </cx:series>
        <cx:series layoutId="boxWhisker" uniqueId="{A6F2D87F-02AD-480B-AA3A-E2095B766467}">
          <cx:dataId val="2"/>
          <cx:layoutPr>
            <cx:statistics quartileMethod="exclusive"/>
          </cx:layoutPr>
        </cx:series>
      </cx:plotAreaRegion>
      <cx:axis id="0" hidden="1">
        <cx:catScaling gapWidth="1"/>
        <cx:tickLabels/>
        <cx:txPr>
          <a:bodyPr vertOverflow="overflow" horzOverflow="overflow" wrap="square" lIns="0" tIns="0" rIns="0" bIns="0"/>
          <a:lstStyle/>
          <a:p>
            <a:pPr algn="ctr" rtl="0">
              <a:defRPr sz="1800" b="0" i="0">
                <a:solidFill>
                  <a:srgbClr val="595959"/>
                </a:solidFill>
                <a:latin typeface="Avenir LT Std 45 Book" panose="020B0502020203020204" pitchFamily="34" charset="0"/>
                <a:ea typeface="Avenir LT Std 45 Book" panose="020B0502020203020204" pitchFamily="34" charset="0"/>
                <a:cs typeface="Avenir LT Std 45 Book" panose="020B0502020203020204" pitchFamily="34" charset="0"/>
              </a:defRPr>
            </a:pPr>
            <a:endParaRPr lang="en-CA" sz="1800">
              <a:latin typeface="Avenir LT Std 45 Book" panose="020B0502020203020204" pitchFamily="34" charset="0"/>
            </a:endParaRPr>
          </a:p>
        </cx:txPr>
      </cx:axis>
      <cx:axis id="1">
        <cx:valScaling/>
        <cx:units unit="hundredMillions"/>
        <cx:majorTickMarks type="out"/>
        <cx:tickLabels/>
        <cx:numFmt formatCode="General" sourceLinked="0"/>
        <cx:spPr>
          <a:ln>
            <a:solidFill>
              <a:schemeClr val="tx1"/>
            </a:solidFill>
          </a:ln>
        </cx:spPr>
        <cx:txPr>
          <a:bodyPr vertOverflow="overflow" horzOverflow="overflow" wrap="square" lIns="0" tIns="0" rIns="0" bIns="0"/>
          <a:lstStyle/>
          <a:p>
            <a:pPr algn="ctr" rtl="0">
              <a:defRPr sz="1600" b="0" i="0">
                <a:solidFill>
                  <a:sysClr val="windowText" lastClr="000000"/>
                </a:solidFill>
                <a:latin typeface="Avenir LT Std 45 Book" panose="020B0502020203020204" pitchFamily="34" charset="0"/>
                <a:ea typeface="Avenir LT Std 45 Book" panose="020B0502020203020204" pitchFamily="34" charset="0"/>
                <a:cs typeface="Avenir LT Std 45 Book" panose="020B0502020203020204" pitchFamily="34" charset="0"/>
              </a:defRPr>
            </a:pPr>
            <a:endParaRPr lang="en-CA" sz="1600">
              <a:solidFill>
                <a:sysClr val="windowText" lastClr="000000"/>
              </a:solidFill>
              <a:latin typeface="Avenir LT Std 45 Book" panose="020B0502020203020204" pitchFamily="34" charset="0"/>
            </a:endParaRPr>
          </a:p>
        </cx:txPr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_xlchart.v1.4</cx:f>
      </cx:numDim>
    </cx:data>
    <cx:data id="1">
      <cx:numDim type="val">
        <cx:f>_xlchart.v1.7</cx:f>
      </cx:numDim>
    </cx:data>
    <cx:data id="2"/>
    <cx:data id="3">
      <cx:numDim type="val">
        <cx:f>_xlchart.v1.5</cx:f>
      </cx:numDim>
    </cx:data>
    <cx:data id="4">
      <cx:numDim type="val">
        <cx:f>_xlchart.v1.8</cx:f>
      </cx:numDim>
    </cx:data>
    <cx:data id="5"/>
    <cx:data id="6">
      <cx:numDim type="val">
        <cx:f>_xlchart.v1.6</cx:f>
      </cx:numDim>
    </cx:data>
    <cx:data id="7">
      <cx:numDim type="val">
        <cx:f>_xlchart.v1.9</cx:f>
      </cx:numDim>
    </cx:data>
    <cx:data id="8">
      <cx:numDim type="val">
        <cx:f>_xlchart.v1.4</cx:f>
      </cx:numDim>
    </cx:data>
  </cx:chartData>
  <cx:chart>
    <cx:plotArea>
      <cx:plotAreaRegion>
        <cx:series layoutId="boxWhisker" uniqueId="{B01DF59A-CCE5-4DC0-980D-33358A98B535}">
          <cx:tx>
            <cx:txData>
              <cx:f/>
              <cx:v>0.3R1_DLS</cx:v>
            </cx:txData>
          </cx:tx>
          <cx:spPr>
            <a:solidFill>
              <a:schemeClr val="bg1"/>
            </a:solidFill>
          </cx:spPr>
          <cx:dataId val="0"/>
          <cx:layoutPr>
            <cx:visibility meanLine="0" meanMarker="0" nonoutliers="1" outliers="1"/>
            <cx:statistics quartileMethod="exclusive"/>
          </cx:layoutPr>
        </cx:series>
        <cx:series layoutId="boxWhisker" uniqueId="{00000002-6109-4CA9-B90A-ABE2A92006C8}">
          <cx:tx>
            <cx:txData>
              <cx:f/>
              <cx:v>0.3R1_NTA</cx:v>
            </cx:txData>
          </cx:tx>
          <cx:spPr>
            <a:solidFill>
              <a:schemeClr val="bg1"/>
            </a:solidFill>
            <a:ln>
              <a:solidFill>
                <a:schemeClr val="tx1"/>
              </a:solidFill>
            </a:ln>
          </cx:spPr>
          <cx:dataId val="1"/>
          <cx:layoutPr>
            <cx:visibility meanMarker="0"/>
            <cx:statistics quartileMethod="exclusive"/>
          </cx:layoutPr>
        </cx:series>
        <cx:series layoutId="boxWhisker" uniqueId="{00000003-6109-4CA9-B90A-ABE2A92006C8}">
          <cx:tx>
            <cx:txData>
              <cx:f/>
              <cx:v>blank</cx:v>
            </cx:txData>
          </cx:tx>
          <cx:dataId val="2"/>
          <cx:layoutPr>
            <cx:statistics quartileMethod="exclusive"/>
          </cx:layoutPr>
        </cx:series>
        <cx:series layoutId="boxWhisker" uniqueId="{00000004-6109-4CA9-B90A-ABE2A92006C8}">
          <cx:tx>
            <cx:txData>
              <cx:f/>
              <cx:v>0.3R2_DLS</cx:v>
            </cx:txData>
          </cx:tx>
          <cx:spPr>
            <a:solidFill>
              <a:schemeClr val="bg1"/>
            </a:solidFill>
          </cx:spPr>
          <cx:dataId val="3"/>
          <cx:layoutPr>
            <cx:visibility meanMarker="0"/>
            <cx:statistics quartileMethod="exclusive"/>
          </cx:layoutPr>
        </cx:series>
        <cx:series layoutId="boxWhisker" uniqueId="{00000005-6109-4CA9-B90A-ABE2A92006C8}">
          <cx:tx>
            <cx:txData>
              <cx:f/>
              <cx:v>0.3R2_NTA</cx:v>
            </cx:txData>
          </cx:tx>
          <cx:spPr>
            <a:solidFill>
              <a:schemeClr val="bg1"/>
            </a:solidFill>
          </cx:spPr>
          <cx:dataId val="4"/>
          <cx:layoutPr>
            <cx:visibility meanMarker="0"/>
            <cx:statistics quartileMethod="exclusive"/>
          </cx:layoutPr>
        </cx:series>
        <cx:series layoutId="boxWhisker" uniqueId="{00000006-6109-4CA9-B90A-ABE2A92006C8}">
          <cx:tx>
            <cx:txData>
              <cx:f/>
              <cx:v>blank2</cx:v>
            </cx:txData>
          </cx:tx>
          <cx:dataId val="5"/>
          <cx:layoutPr>
            <cx:statistics quartileMethod="exclusive"/>
          </cx:layoutPr>
        </cx:series>
        <cx:series layoutId="boxWhisker" uniqueId="{00000007-6109-4CA9-B90A-ABE2A92006C8}">
          <cx:tx>
            <cx:txData>
              <cx:f/>
              <cx:v>0.3R3_DLS</cx:v>
            </cx:txData>
          </cx:tx>
          <cx:spPr>
            <a:solidFill>
              <a:schemeClr val="bg1"/>
            </a:solidFill>
          </cx:spPr>
          <cx:dataId val="6"/>
          <cx:layoutPr>
            <cx:visibility meanMarker="0"/>
            <cx:statistics quartileMethod="exclusive"/>
          </cx:layoutPr>
        </cx:series>
        <cx:series layoutId="boxWhisker" uniqueId="{00000008-6109-4CA9-B90A-ABE2A92006C8}">
          <cx:tx>
            <cx:txData>
              <cx:f/>
              <cx:v>0.3R3_NTA</cx:v>
            </cx:txData>
          </cx:tx>
          <cx:spPr>
            <a:solidFill>
              <a:schemeClr val="bg1"/>
            </a:solidFill>
          </cx:spPr>
          <cx:dataId val="7"/>
          <cx:layoutPr>
            <cx:visibility meanMarker="0"/>
            <cx:statistics quartileMethod="exclusive"/>
          </cx:layoutPr>
        </cx:series>
        <cx:series layoutId="boxWhisker" uniqueId="{00000009-6109-4CA9-B90A-ABE2A92006C8}">
          <cx:dataId val="8"/>
          <cx:layoutPr>
            <cx:statistics quartileMethod="exclusive"/>
          </cx:layoutPr>
        </cx:series>
      </cx:plotAreaRegion>
      <cx:axis id="0" hidden="1">
        <cx:catScaling gapWidth="1"/>
        <cx:tickLabels/>
        <cx:txPr>
          <a:bodyPr vertOverflow="overflow" horzOverflow="overflow" wrap="square" lIns="0" tIns="0" rIns="0" bIns="0"/>
          <a:lstStyle/>
          <a:p>
            <a:pPr algn="ctr" rtl="0">
              <a:defRPr sz="1800" b="0" i="0">
                <a:solidFill>
                  <a:srgbClr val="595959"/>
                </a:solidFill>
                <a:latin typeface="Avenir LT Std 45 Book" panose="020B0502020203020204" pitchFamily="34" charset="0"/>
                <a:ea typeface="Avenir LT Std 45 Book" panose="020B0502020203020204" pitchFamily="34" charset="0"/>
                <a:cs typeface="Avenir LT Std 45 Book" panose="020B0502020203020204" pitchFamily="34" charset="0"/>
              </a:defRPr>
            </a:pPr>
            <a:endParaRPr lang="en-CA" sz="1800">
              <a:latin typeface="Avenir LT Std 45 Book" panose="020B0502020203020204" pitchFamily="34" charset="0"/>
            </a:endParaRPr>
          </a:p>
        </cx:txPr>
      </cx:axis>
      <cx:axis id="1">
        <cx:valScaling/>
        <cx:units unit="hundredMillions"/>
        <cx:majorTickMarks type="out"/>
        <cx:tickLabels/>
        <cx:numFmt formatCode="General" sourceLinked="0"/>
        <cx:spPr>
          <a:ln>
            <a:solidFill>
              <a:schemeClr val="tx1"/>
            </a:solidFill>
          </a:ln>
        </cx:spPr>
        <cx:txPr>
          <a:bodyPr vertOverflow="overflow" horzOverflow="overflow" wrap="square" lIns="0" tIns="0" rIns="0" bIns="0"/>
          <a:lstStyle/>
          <a:p>
            <a:pPr algn="ctr" rtl="0">
              <a:defRPr sz="1600" b="0" i="0">
                <a:solidFill>
                  <a:sysClr val="windowText" lastClr="000000"/>
                </a:solidFill>
                <a:latin typeface="Avenir LT Std 45 Book" panose="020B0502020203020204" pitchFamily="34" charset="0"/>
                <a:ea typeface="Avenir LT Std 45 Book" panose="020B0502020203020204" pitchFamily="34" charset="0"/>
                <a:cs typeface="Avenir LT Std 45 Book" panose="020B0502020203020204" pitchFamily="34" charset="0"/>
              </a:defRPr>
            </a:pPr>
            <a:endParaRPr lang="en-CA" sz="1600">
              <a:solidFill>
                <a:sysClr val="windowText" lastClr="000000"/>
              </a:solidFill>
              <a:latin typeface="Avenir LT Std 45 Book" panose="020B0502020203020204" pitchFamily="34" charset="0"/>
            </a:endParaRPr>
          </a:p>
        </cx:txPr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_xlchart.v1.10</cx:f>
      </cx:strDim>
      <cx:numDim type="val">
        <cx:f>_xlchart.v1.12</cx:f>
      </cx:numDim>
    </cx:data>
    <cx:data id="1">
      <cx:strDim type="cat">
        <cx:f>_xlchart.v1.10</cx:f>
      </cx:strDim>
      <cx:numDim type="val">
        <cx:f>_xlchart.v1.14</cx:f>
      </cx:numDim>
    </cx:data>
  </cx:chartData>
  <cx:chart>
    <cx:title pos="t" align="ctr" overlay="0">
      <cx:txPr>
        <a:bodyPr vertOverflow="overflow" horzOverflow="overflow" wrap="square" lIns="0" tIns="0" rIns="0" bIns="0"/>
        <a:lstStyle/>
        <a:p>
          <a:pPr algn="ctr" rtl="0">
            <a:defRPr sz="1400" b="0" i="0">
              <a:solidFill>
                <a:srgbClr val="7F7F7F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r>
            <a:t>Chart Title</a:t>
          </a:r>
        </a:p>
      </cx:txPr>
    </cx:title>
    <cx:plotArea>
      <cx:plotAreaRegion>
        <cx:series layoutId="boxWhisker" uniqueId="{5986B853-5F25-4C81-89DE-CC31F73BF42F}">
          <cx:tx>
            <cx:txData>
              <cx:f>_xlchart.v1.11</cx:f>
              <cx:v>DLS</cx:v>
            </cx:txData>
          </cx:tx>
          <cx:spPr>
            <a:solidFill>
              <a:schemeClr val="bg1"/>
            </a:solidFill>
            <a:ln>
              <a:solidFill>
                <a:schemeClr val="tx1"/>
              </a:solidFill>
            </a:ln>
          </cx:spPr>
          <cx:dataId val="0"/>
          <cx:layoutPr>
            <cx:visibility meanLine="0" meanMarker="1" nonoutliers="1" outliers="1"/>
            <cx:statistics quartileMethod="exclusive"/>
          </cx:layoutPr>
        </cx:series>
        <cx:series layoutId="boxWhisker" uniqueId="{EE275982-64EC-4443-A63A-16FB272E57B7}">
          <cx:tx>
            <cx:txData>
              <cx:f>_xlchart.v1.13</cx:f>
              <cx:v>NTA</cx:v>
            </cx:txData>
          </cx:tx>
          <cx:spPr>
            <a:solidFill>
              <a:schemeClr val="bg1"/>
            </a:solidFill>
            <a:ln>
              <a:solidFill>
                <a:schemeClr val="tx1"/>
              </a:solidFill>
            </a:ln>
          </cx:spPr>
          <cx:dataId val="1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units unit="hundredMillions"/>
        <cx:majorGridlines/>
        <cx:tickLabels/>
        <cx:numFmt formatCode="General" sourceLinked="0"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microsoft.com/office/2014/relationships/chartEx" Target="../charts/chartEx2.xml"/><Relationship Id="rId1" Type="http://schemas.microsoft.com/office/2014/relationships/chartEx" Target="../charts/chartEx1.xml"/></Relationships>
</file>

<file path=xl/drawings/_rels/drawing3.xml.rels><?xml version="1.0" encoding="UTF-8" standalone="yes"?>
<Relationships xmlns="http://schemas.openxmlformats.org/package/2006/relationships"><Relationship Id="rId2" Type="http://schemas.microsoft.com/office/2014/relationships/chartEx" Target="../charts/chartEx3.xml"/><Relationship Id="rId1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361949</xdr:colOff>
      <xdr:row>5</xdr:row>
      <xdr:rowOff>28575</xdr:rowOff>
    </xdr:from>
    <xdr:to>
      <xdr:col>10</xdr:col>
      <xdr:colOff>257174</xdr:colOff>
      <xdr:row>23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B2DE230-1983-48BD-9099-51B242C999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733425</xdr:colOff>
      <xdr:row>10</xdr:row>
      <xdr:rowOff>142875</xdr:rowOff>
    </xdr:from>
    <xdr:to>
      <xdr:col>28</xdr:col>
      <xdr:colOff>133350</xdr:colOff>
      <xdr:row>29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168D16B-3950-4F24-8AEA-6A69874AE5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85724</xdr:colOff>
      <xdr:row>53</xdr:row>
      <xdr:rowOff>147636</xdr:rowOff>
    </xdr:from>
    <xdr:to>
      <xdr:col>9</xdr:col>
      <xdr:colOff>657225</xdr:colOff>
      <xdr:row>76</xdr:row>
      <xdr:rowOff>152400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354553C-2C08-997C-5E9D-E9978D2451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171450</xdr:colOff>
      <xdr:row>58</xdr:row>
      <xdr:rowOff>76200</xdr:rowOff>
    </xdr:from>
    <xdr:to>
      <xdr:col>17</xdr:col>
      <xdr:colOff>285751</xdr:colOff>
      <xdr:row>75</xdr:row>
      <xdr:rowOff>119064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DF52ADA8-FD43-4F70-BEE2-128F4A6371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2076449</xdr:colOff>
      <xdr:row>16</xdr:row>
      <xdr:rowOff>100012</xdr:rowOff>
    </xdr:from>
    <xdr:to>
      <xdr:col>3</xdr:col>
      <xdr:colOff>542924</xdr:colOff>
      <xdr:row>32</xdr:row>
      <xdr:rowOff>38100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7A6A143A-4A55-699C-4DEF-232801E048B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0" cy="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13</xdr:col>
      <xdr:colOff>457200</xdr:colOff>
      <xdr:row>15</xdr:row>
      <xdr:rowOff>123825</xdr:rowOff>
    </xdr:from>
    <xdr:to>
      <xdr:col>18</xdr:col>
      <xdr:colOff>1590675</xdr:colOff>
      <xdr:row>31</xdr:row>
      <xdr:rowOff>61913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C9073069-A818-4C01-A1CD-74EF208F462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0" cy="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4</xdr:col>
      <xdr:colOff>676275</xdr:colOff>
      <xdr:row>11</xdr:row>
      <xdr:rowOff>47624</xdr:rowOff>
    </xdr:from>
    <xdr:to>
      <xdr:col>10</xdr:col>
      <xdr:colOff>733425</xdr:colOff>
      <xdr:row>28</xdr:row>
      <xdr:rowOff>104774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B98ED70-4A53-4D25-BD0F-DA7E7A0167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2286000</xdr:colOff>
      <xdr:row>13</xdr:row>
      <xdr:rowOff>142875</xdr:rowOff>
    </xdr:from>
    <xdr:to>
      <xdr:col>2</xdr:col>
      <xdr:colOff>847725</xdr:colOff>
      <xdr:row>31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AE03A7F-B72D-401C-9EB8-DAA7291D85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319087</xdr:colOff>
      <xdr:row>22</xdr:row>
      <xdr:rowOff>128587</xdr:rowOff>
    </xdr:from>
    <xdr:to>
      <xdr:col>11</xdr:col>
      <xdr:colOff>309562</xdr:colOff>
      <xdr:row>36</xdr:row>
      <xdr:rowOff>71437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27B9881D-ED63-A1A8-141D-81FF6F261AA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0" cy="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0.4549</cdr:x>
      <cdr:y>0.03581</cdr:y>
    </cdr:from>
    <cdr:to>
      <cdr:x>0.60425</cdr:x>
      <cdr:y>0.14513</cdr:y>
    </cdr:to>
    <cdr:pic>
      <cdr:nvPicPr>
        <cdr:cNvPr id="2" name="chart">
          <a:extLst xmlns:a="http://schemas.openxmlformats.org/drawingml/2006/main">
            <a:ext uri="{FF2B5EF4-FFF2-40B4-BE49-F238E27FC236}">
              <a16:creationId xmlns:a16="http://schemas.microsoft.com/office/drawing/2014/main" id="{D049CA0E-BB28-0D3F-AA75-272CA8E7A92A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2209800" y="123825"/>
          <a:ext cx="725487" cy="377985"/>
        </a:xfrm>
        <a:prstGeom xmlns:a="http://schemas.openxmlformats.org/drawingml/2006/main" prst="rect">
          <a:avLst/>
        </a:prstGeom>
      </cdr:spPr>
    </cdr:pic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317500</xdr:colOff>
      <xdr:row>11</xdr:row>
      <xdr:rowOff>25400</xdr:rowOff>
    </xdr:from>
    <xdr:to>
      <xdr:col>7</xdr:col>
      <xdr:colOff>603250</xdr:colOff>
      <xdr:row>28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FF41250-3F38-4E31-8451-122E5D0275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0.44314</cdr:x>
      <cdr:y>0.03028</cdr:y>
    </cdr:from>
    <cdr:to>
      <cdr:x>0.59248</cdr:x>
      <cdr:y>0.1395</cdr:y>
    </cdr:to>
    <cdr:pic>
      <cdr:nvPicPr>
        <cdr:cNvPr id="2" name="chart">
          <a:extLst xmlns:a="http://schemas.openxmlformats.org/drawingml/2006/main">
            <a:ext uri="{FF2B5EF4-FFF2-40B4-BE49-F238E27FC236}">
              <a16:creationId xmlns:a16="http://schemas.microsoft.com/office/drawing/2014/main" id="{EC4FE461-798C-968D-89FB-456A0EC53D24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2152650" y="104775"/>
          <a:ext cx="725487" cy="377985"/>
        </a:xfrm>
        <a:prstGeom xmlns:a="http://schemas.openxmlformats.org/drawingml/2006/main" prst="rect">
          <a:avLst/>
        </a:prstGeom>
      </cdr:spPr>
    </cdr:pic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390525</xdr:colOff>
      <xdr:row>31</xdr:row>
      <xdr:rowOff>66674</xdr:rowOff>
    </xdr:from>
    <xdr:to>
      <xdr:col>14</xdr:col>
      <xdr:colOff>314325</xdr:colOff>
      <xdr:row>46</xdr:row>
      <xdr:rowOff>123824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B3AE879-1259-4B2B-94BD-D028225625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9525</xdr:colOff>
      <xdr:row>14</xdr:row>
      <xdr:rowOff>66674</xdr:rowOff>
    </xdr:from>
    <xdr:to>
      <xdr:col>29</xdr:col>
      <xdr:colOff>123825</xdr:colOff>
      <xdr:row>30</xdr:row>
      <xdr:rowOff>152399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1EB3DBB-D23B-4D83-8A0D-D0B4205975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38100</xdr:colOff>
      <xdr:row>48</xdr:row>
      <xdr:rowOff>33337</xdr:rowOff>
    </xdr:from>
    <xdr:to>
      <xdr:col>25</xdr:col>
      <xdr:colOff>66674</xdr:colOff>
      <xdr:row>61</xdr:row>
      <xdr:rowOff>176212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3BA11BB-FAC2-2096-F80F-000E60C7DD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NTA%20data\Th_Se-PS_MNPs.xlsx" TargetMode="External"/><Relationship Id="rId1" Type="http://schemas.openxmlformats.org/officeDocument/2006/relationships/externalLinkPath" Target="file:///E:\NTA%20data\Th_Se-PS_MNP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mmary"/>
      <sheetName val="0R1"/>
      <sheetName val="0R2"/>
      <sheetName val="0R3"/>
      <sheetName val="0.5R1"/>
      <sheetName val="0.5R2"/>
      <sheetName val="0.5R3"/>
      <sheetName val="1R1"/>
      <sheetName val="1R2"/>
      <sheetName val="1R3"/>
      <sheetName val="3R1"/>
      <sheetName val="3R2"/>
      <sheetName val="3R3"/>
      <sheetName val="5.7R1"/>
      <sheetName val="8.7R1"/>
      <sheetName val="For ICP-MS"/>
      <sheetName val="For ICP-MS plot"/>
    </sheetNames>
    <sheetDataSet>
      <sheetData sheetId="0"/>
      <sheetData sheetId="1"/>
      <sheetData sheetId="2"/>
      <sheetData sheetId="3"/>
      <sheetData sheetId="4">
        <row r="27">
          <cell r="R27">
            <v>250000000</v>
          </cell>
          <cell r="T27">
            <v>275000000</v>
          </cell>
          <cell r="V27">
            <v>257000000</v>
          </cell>
        </row>
        <row r="32">
          <cell r="R32">
            <v>19000000</v>
          </cell>
          <cell r="T32">
            <v>20300000</v>
          </cell>
          <cell r="V32">
            <v>15000000</v>
          </cell>
        </row>
      </sheetData>
      <sheetData sheetId="5">
        <row r="27">
          <cell r="R27">
            <v>100000000</v>
          </cell>
          <cell r="T27">
            <v>95200000</v>
          </cell>
          <cell r="V27">
            <v>99200000</v>
          </cell>
        </row>
        <row r="32">
          <cell r="R32">
            <v>11700000</v>
          </cell>
          <cell r="T32">
            <v>19200000</v>
          </cell>
          <cell r="V32">
            <v>14800000</v>
          </cell>
        </row>
      </sheetData>
      <sheetData sheetId="6">
        <row r="27">
          <cell r="R27">
            <v>65500000</v>
          </cell>
          <cell r="T27">
            <v>77100000</v>
          </cell>
          <cell r="V27">
            <v>79700000</v>
          </cell>
        </row>
        <row r="32">
          <cell r="R32">
            <v>15300000</v>
          </cell>
          <cell r="T32">
            <v>6420000</v>
          </cell>
          <cell r="V32">
            <v>3270000</v>
          </cell>
        </row>
      </sheetData>
      <sheetData sheetId="7">
        <row r="27">
          <cell r="R27">
            <v>113000000</v>
          </cell>
          <cell r="T27">
            <v>136000000</v>
          </cell>
          <cell r="V27">
            <v>129000000</v>
          </cell>
        </row>
        <row r="32">
          <cell r="R32">
            <v>16600000</v>
          </cell>
          <cell r="T32">
            <v>11100000</v>
          </cell>
          <cell r="V32">
            <v>11500000</v>
          </cell>
        </row>
      </sheetData>
      <sheetData sheetId="8">
        <row r="27">
          <cell r="R27">
            <v>180000000</v>
          </cell>
          <cell r="T27">
            <v>209000000</v>
          </cell>
          <cell r="V27">
            <v>221000000</v>
          </cell>
        </row>
        <row r="32">
          <cell r="R32">
            <v>10300000</v>
          </cell>
          <cell r="T32">
            <v>21000000</v>
          </cell>
          <cell r="V32">
            <v>25800000</v>
          </cell>
        </row>
      </sheetData>
      <sheetData sheetId="9">
        <row r="27">
          <cell r="R27">
            <v>72400000</v>
          </cell>
          <cell r="T27">
            <v>59700000</v>
          </cell>
          <cell r="V27">
            <v>56900000</v>
          </cell>
        </row>
        <row r="32">
          <cell r="R32">
            <v>10000000</v>
          </cell>
          <cell r="T32">
            <v>8690000</v>
          </cell>
          <cell r="V32">
            <v>4140000</v>
          </cell>
        </row>
      </sheetData>
      <sheetData sheetId="10">
        <row r="27">
          <cell r="R27">
            <v>163000000</v>
          </cell>
          <cell r="T27">
            <v>158000000</v>
          </cell>
          <cell r="V27">
            <v>166000000</v>
          </cell>
        </row>
        <row r="32">
          <cell r="R32">
            <v>8270000</v>
          </cell>
          <cell r="T32">
            <v>14400000</v>
          </cell>
          <cell r="V32">
            <v>20800000</v>
          </cell>
        </row>
      </sheetData>
      <sheetData sheetId="11">
        <row r="27">
          <cell r="R27">
            <v>127000000</v>
          </cell>
          <cell r="T27">
            <v>120000000</v>
          </cell>
          <cell r="V27">
            <v>124000000</v>
          </cell>
        </row>
        <row r="32">
          <cell r="R32">
            <v>11700000</v>
          </cell>
          <cell r="T32">
            <v>16100000</v>
          </cell>
          <cell r="V32">
            <v>9860000</v>
          </cell>
        </row>
      </sheetData>
      <sheetData sheetId="12">
        <row r="27">
          <cell r="R27">
            <v>71200000</v>
          </cell>
          <cell r="T27">
            <v>77800000</v>
          </cell>
          <cell r="V27">
            <v>70900000</v>
          </cell>
        </row>
        <row r="32">
          <cell r="R32">
            <v>12100000</v>
          </cell>
          <cell r="T32">
            <v>6370000</v>
          </cell>
          <cell r="V32">
            <v>24500000</v>
          </cell>
        </row>
      </sheetData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F237CC-91F1-4544-BC09-82BA447FAC32}">
  <dimension ref="A1:A6"/>
  <sheetViews>
    <sheetView workbookViewId="0">
      <selection activeCell="A6" sqref="A6"/>
    </sheetView>
  </sheetViews>
  <sheetFormatPr defaultRowHeight="15.75"/>
  <sheetData>
    <row r="1" spans="1:1">
      <c r="A1" t="s">
        <v>0</v>
      </c>
    </row>
    <row r="2" spans="1:1">
      <c r="A2" t="s">
        <v>1</v>
      </c>
    </row>
    <row r="4" spans="1:1">
      <c r="A4" t="s">
        <v>2</v>
      </c>
    </row>
    <row r="5" spans="1:1">
      <c r="A5" t="s">
        <v>3</v>
      </c>
    </row>
    <row r="6" spans="1:1">
      <c r="A6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F6D0F-C81F-4BEF-9795-96A4F519C108}">
  <dimension ref="C1:S112"/>
  <sheetViews>
    <sheetView workbookViewId="0">
      <selection activeCell="N91" sqref="N91"/>
    </sheetView>
  </sheetViews>
  <sheetFormatPr defaultRowHeight="15.75"/>
  <cols>
    <col min="9" max="9" width="13.6640625" customWidth="1"/>
    <col min="16" max="16" width="12" bestFit="1" customWidth="1"/>
  </cols>
  <sheetData>
    <row r="1" spans="5:19"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P1" t="s">
        <v>5</v>
      </c>
      <c r="Q1" t="s">
        <v>15</v>
      </c>
      <c r="R1" t="s">
        <v>16</v>
      </c>
      <c r="S1" t="s">
        <v>17</v>
      </c>
    </row>
    <row r="2" spans="5:19">
      <c r="E2">
        <v>0.3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P2">
        <v>0.3</v>
      </c>
      <c r="Q2">
        <f>AVERAGE(F2,G2,H2)</f>
        <v>0</v>
      </c>
      <c r="R2">
        <f>AVERAGE(I2:K2)</f>
        <v>0</v>
      </c>
      <c r="S2">
        <f>AVERAGE(L2:N2)</f>
        <v>0</v>
      </c>
    </row>
    <row r="3" spans="5:19">
      <c r="E3">
        <v>0.34889999999999999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P3">
        <v>0.34889999999999999</v>
      </c>
      <c r="Q3">
        <f t="shared" ref="Q3:Q66" si="0">AVERAGE(F3,G3,H3)</f>
        <v>0</v>
      </c>
      <c r="R3">
        <f t="shared" ref="R3:R66" si="1">AVERAGE(I3:K3)</f>
        <v>0</v>
      </c>
      <c r="S3">
        <f t="shared" ref="S3:S66" si="2">AVERAGE(L3:N3)</f>
        <v>0</v>
      </c>
    </row>
    <row r="4" spans="5:19">
      <c r="E4">
        <v>0.40570000000000001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P4">
        <v>0.40570000000000001</v>
      </c>
      <c r="Q4">
        <f t="shared" si="0"/>
        <v>0</v>
      </c>
      <c r="R4">
        <f t="shared" si="1"/>
        <v>0</v>
      </c>
      <c r="S4">
        <f t="shared" si="2"/>
        <v>0</v>
      </c>
    </row>
    <row r="5" spans="5:19">
      <c r="E5">
        <v>0.4718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P5">
        <v>0.4718</v>
      </c>
      <c r="Q5">
        <f t="shared" si="0"/>
        <v>0</v>
      </c>
      <c r="R5">
        <f t="shared" si="1"/>
        <v>0</v>
      </c>
      <c r="S5">
        <f t="shared" si="2"/>
        <v>0</v>
      </c>
    </row>
    <row r="6" spans="5:19">
      <c r="E6">
        <v>0.54869999999999997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P6">
        <v>0.54869999999999997</v>
      </c>
      <c r="Q6">
        <f t="shared" si="0"/>
        <v>0</v>
      </c>
      <c r="R6">
        <f t="shared" si="1"/>
        <v>0</v>
      </c>
      <c r="S6">
        <f t="shared" si="2"/>
        <v>0</v>
      </c>
    </row>
    <row r="7" spans="5:19">
      <c r="E7">
        <v>0.6381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P7">
        <v>0.6381</v>
      </c>
      <c r="Q7">
        <f t="shared" si="0"/>
        <v>0</v>
      </c>
      <c r="R7">
        <f t="shared" si="1"/>
        <v>0</v>
      </c>
      <c r="S7">
        <f t="shared" si="2"/>
        <v>0</v>
      </c>
    </row>
    <row r="8" spans="5:19">
      <c r="E8">
        <v>0.74199999999999999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P8">
        <v>0.74199999999999999</v>
      </c>
      <c r="Q8">
        <f t="shared" si="0"/>
        <v>0</v>
      </c>
      <c r="R8">
        <f t="shared" si="1"/>
        <v>0</v>
      </c>
      <c r="S8">
        <f t="shared" si="2"/>
        <v>0</v>
      </c>
    </row>
    <row r="9" spans="5:19">
      <c r="E9">
        <v>0.8629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P9">
        <v>0.8629</v>
      </c>
      <c r="Q9">
        <f t="shared" si="0"/>
        <v>0</v>
      </c>
      <c r="R9">
        <f t="shared" si="1"/>
        <v>0</v>
      </c>
      <c r="S9">
        <f t="shared" si="2"/>
        <v>0</v>
      </c>
    </row>
    <row r="10" spans="5:19">
      <c r="E10">
        <v>1.0029999999999999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P10">
        <v>1.0029999999999999</v>
      </c>
      <c r="Q10">
        <f t="shared" si="0"/>
        <v>0</v>
      </c>
      <c r="R10">
        <f t="shared" si="1"/>
        <v>0</v>
      </c>
      <c r="S10">
        <f t="shared" si="2"/>
        <v>0</v>
      </c>
    </row>
    <row r="11" spans="5:19">
      <c r="E11">
        <v>1.167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P11">
        <v>1.167</v>
      </c>
      <c r="Q11">
        <f t="shared" si="0"/>
        <v>0</v>
      </c>
      <c r="R11">
        <f t="shared" si="1"/>
        <v>0</v>
      </c>
      <c r="S11">
        <f t="shared" si="2"/>
        <v>0</v>
      </c>
    </row>
    <row r="12" spans="5:19">
      <c r="E12">
        <v>1.357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P12">
        <v>1.357</v>
      </c>
      <c r="Q12">
        <f t="shared" si="0"/>
        <v>0</v>
      </c>
      <c r="R12">
        <f t="shared" si="1"/>
        <v>0</v>
      </c>
      <c r="S12">
        <f t="shared" si="2"/>
        <v>0</v>
      </c>
    </row>
    <row r="13" spans="5:19">
      <c r="E13">
        <v>1.5780000000000001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P13">
        <v>1.5780000000000001</v>
      </c>
      <c r="Q13">
        <f t="shared" si="0"/>
        <v>0</v>
      </c>
      <c r="R13">
        <f t="shared" si="1"/>
        <v>0</v>
      </c>
      <c r="S13">
        <f t="shared" si="2"/>
        <v>0</v>
      </c>
    </row>
    <row r="14" spans="5:19">
      <c r="E14">
        <v>1.835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P14">
        <v>1.835</v>
      </c>
      <c r="Q14">
        <f t="shared" si="0"/>
        <v>0</v>
      </c>
      <c r="R14">
        <f t="shared" si="1"/>
        <v>0</v>
      </c>
      <c r="S14">
        <f t="shared" si="2"/>
        <v>0</v>
      </c>
    </row>
    <row r="15" spans="5:19">
      <c r="E15">
        <v>2.1339999999999999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P15">
        <v>2.1339999999999999</v>
      </c>
      <c r="Q15">
        <f t="shared" si="0"/>
        <v>0</v>
      </c>
      <c r="R15">
        <f t="shared" si="1"/>
        <v>0</v>
      </c>
      <c r="S15">
        <f t="shared" si="2"/>
        <v>0</v>
      </c>
    </row>
    <row r="16" spans="5:19">
      <c r="E16">
        <v>2.4820000000000002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P16">
        <v>2.4820000000000002</v>
      </c>
      <c r="Q16">
        <f t="shared" si="0"/>
        <v>0</v>
      </c>
      <c r="R16">
        <f t="shared" si="1"/>
        <v>0</v>
      </c>
      <c r="S16">
        <f t="shared" si="2"/>
        <v>0</v>
      </c>
    </row>
    <row r="17" spans="5:19">
      <c r="E17">
        <v>2.8860000000000001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P17">
        <v>2.8860000000000001</v>
      </c>
      <c r="Q17">
        <f t="shared" si="0"/>
        <v>0</v>
      </c>
      <c r="R17">
        <f t="shared" si="1"/>
        <v>0</v>
      </c>
      <c r="S17">
        <f t="shared" si="2"/>
        <v>0</v>
      </c>
    </row>
    <row r="18" spans="5:19">
      <c r="E18">
        <v>3.3570000000000002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P18">
        <v>3.3570000000000002</v>
      </c>
      <c r="Q18">
        <f t="shared" si="0"/>
        <v>0</v>
      </c>
      <c r="R18">
        <f t="shared" si="1"/>
        <v>0</v>
      </c>
      <c r="S18">
        <f t="shared" si="2"/>
        <v>0</v>
      </c>
    </row>
    <row r="19" spans="5:19">
      <c r="E19">
        <v>3.903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P19">
        <v>3.903</v>
      </c>
      <c r="Q19">
        <f t="shared" si="0"/>
        <v>0</v>
      </c>
      <c r="R19">
        <f t="shared" si="1"/>
        <v>0</v>
      </c>
      <c r="S19">
        <f t="shared" si="2"/>
        <v>0</v>
      </c>
    </row>
    <row r="20" spans="5:19">
      <c r="E20">
        <v>4.5389999999999997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P20">
        <v>4.5389999999999997</v>
      </c>
      <c r="Q20">
        <f t="shared" si="0"/>
        <v>0</v>
      </c>
      <c r="R20">
        <f t="shared" si="1"/>
        <v>0</v>
      </c>
      <c r="S20">
        <f t="shared" si="2"/>
        <v>0</v>
      </c>
    </row>
    <row r="21" spans="5:19">
      <c r="E21">
        <v>5.2789999999999999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P21">
        <v>5.2789999999999999</v>
      </c>
      <c r="Q21">
        <f t="shared" si="0"/>
        <v>0</v>
      </c>
      <c r="R21">
        <f t="shared" si="1"/>
        <v>0</v>
      </c>
      <c r="S21">
        <f t="shared" si="2"/>
        <v>0</v>
      </c>
    </row>
    <row r="22" spans="5:19">
      <c r="E22">
        <v>6.1390000000000002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P22">
        <v>6.1390000000000002</v>
      </c>
      <c r="Q22">
        <f t="shared" si="0"/>
        <v>0</v>
      </c>
      <c r="R22">
        <f t="shared" si="1"/>
        <v>0</v>
      </c>
      <c r="S22">
        <f t="shared" si="2"/>
        <v>0</v>
      </c>
    </row>
    <row r="23" spans="5:19">
      <c r="E23">
        <v>7.1390000000000002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P23">
        <v>7.1390000000000002</v>
      </c>
      <c r="Q23">
        <f t="shared" si="0"/>
        <v>0</v>
      </c>
      <c r="R23">
        <f t="shared" si="1"/>
        <v>0</v>
      </c>
      <c r="S23">
        <f t="shared" si="2"/>
        <v>0</v>
      </c>
    </row>
    <row r="24" spans="5:19">
      <c r="E24">
        <v>8.3019999999999996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P24">
        <v>8.3019999999999996</v>
      </c>
      <c r="Q24">
        <f t="shared" si="0"/>
        <v>0</v>
      </c>
      <c r="R24">
        <f t="shared" si="1"/>
        <v>0</v>
      </c>
      <c r="S24">
        <f t="shared" si="2"/>
        <v>0</v>
      </c>
    </row>
    <row r="25" spans="5:19">
      <c r="E25">
        <v>9.6549999999999994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P25">
        <v>9.6549999999999994</v>
      </c>
      <c r="Q25">
        <f t="shared" si="0"/>
        <v>0</v>
      </c>
      <c r="R25">
        <f t="shared" si="1"/>
        <v>0</v>
      </c>
      <c r="S25">
        <f t="shared" si="2"/>
        <v>0</v>
      </c>
    </row>
    <row r="26" spans="5:19">
      <c r="E26">
        <v>11.23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P26">
        <v>11.23</v>
      </c>
      <c r="Q26">
        <f t="shared" si="0"/>
        <v>0</v>
      </c>
      <c r="R26">
        <f t="shared" si="1"/>
        <v>0</v>
      </c>
      <c r="S26">
        <f t="shared" si="2"/>
        <v>0</v>
      </c>
    </row>
    <row r="27" spans="5:19">
      <c r="E27">
        <v>13.06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P27">
        <v>13.06</v>
      </c>
      <c r="Q27">
        <f t="shared" si="0"/>
        <v>0</v>
      </c>
      <c r="R27">
        <f t="shared" si="1"/>
        <v>0</v>
      </c>
      <c r="S27">
        <f t="shared" si="2"/>
        <v>0</v>
      </c>
    </row>
    <row r="28" spans="5:19">
      <c r="E28">
        <v>15.18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P28">
        <v>15.18</v>
      </c>
      <c r="Q28">
        <f t="shared" si="0"/>
        <v>0</v>
      </c>
      <c r="R28">
        <f t="shared" si="1"/>
        <v>0</v>
      </c>
      <c r="S28">
        <f t="shared" si="2"/>
        <v>0</v>
      </c>
    </row>
    <row r="29" spans="5:19">
      <c r="E29">
        <v>17.66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P29">
        <v>17.66</v>
      </c>
      <c r="Q29">
        <f t="shared" si="0"/>
        <v>0</v>
      </c>
      <c r="R29">
        <f t="shared" si="1"/>
        <v>0</v>
      </c>
      <c r="S29">
        <f t="shared" si="2"/>
        <v>0</v>
      </c>
    </row>
    <row r="30" spans="5:19">
      <c r="E30">
        <v>20.53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P30">
        <v>20.53</v>
      </c>
      <c r="Q30">
        <f t="shared" si="0"/>
        <v>0</v>
      </c>
      <c r="R30">
        <f t="shared" si="1"/>
        <v>0</v>
      </c>
      <c r="S30">
        <f t="shared" si="2"/>
        <v>0</v>
      </c>
    </row>
    <row r="31" spans="5:19">
      <c r="E31">
        <v>23.88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P31">
        <v>23.88</v>
      </c>
      <c r="Q31">
        <f t="shared" si="0"/>
        <v>0</v>
      </c>
      <c r="R31">
        <f t="shared" si="1"/>
        <v>0</v>
      </c>
      <c r="S31">
        <f t="shared" si="2"/>
        <v>0</v>
      </c>
    </row>
    <row r="32" spans="5:19">
      <c r="E32">
        <v>27.77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P32">
        <v>27.77</v>
      </c>
      <c r="Q32">
        <f t="shared" si="0"/>
        <v>0</v>
      </c>
      <c r="R32">
        <f t="shared" si="1"/>
        <v>0</v>
      </c>
      <c r="S32">
        <f t="shared" si="2"/>
        <v>0</v>
      </c>
    </row>
    <row r="33" spans="5:19">
      <c r="E33">
        <v>32.299999999999997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P33">
        <v>32.299999999999997</v>
      </c>
      <c r="Q33">
        <f t="shared" si="0"/>
        <v>0</v>
      </c>
      <c r="R33">
        <f t="shared" si="1"/>
        <v>0</v>
      </c>
      <c r="S33">
        <f t="shared" si="2"/>
        <v>0</v>
      </c>
    </row>
    <row r="34" spans="5:19">
      <c r="E34">
        <v>37.56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P34">
        <v>37.56</v>
      </c>
      <c r="Q34">
        <f t="shared" si="0"/>
        <v>0</v>
      </c>
      <c r="R34">
        <f t="shared" si="1"/>
        <v>0</v>
      </c>
      <c r="S34">
        <f t="shared" si="2"/>
        <v>0</v>
      </c>
    </row>
    <row r="35" spans="5:19">
      <c r="E35">
        <v>43.68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P35">
        <v>43.68</v>
      </c>
      <c r="Q35">
        <f t="shared" si="0"/>
        <v>0</v>
      </c>
      <c r="R35">
        <f t="shared" si="1"/>
        <v>0</v>
      </c>
      <c r="S35">
        <f t="shared" si="2"/>
        <v>0</v>
      </c>
    </row>
    <row r="36" spans="5:19">
      <c r="E36">
        <v>50.79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P36">
        <v>50.79</v>
      </c>
      <c r="Q36">
        <f t="shared" si="0"/>
        <v>0</v>
      </c>
      <c r="R36">
        <f t="shared" si="1"/>
        <v>0</v>
      </c>
      <c r="S36">
        <f t="shared" si="2"/>
        <v>0</v>
      </c>
    </row>
    <row r="37" spans="5:19">
      <c r="E37">
        <v>59.07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P37">
        <v>59.07</v>
      </c>
      <c r="Q37">
        <f t="shared" si="0"/>
        <v>0</v>
      </c>
      <c r="R37">
        <f t="shared" si="1"/>
        <v>0</v>
      </c>
      <c r="S37">
        <f t="shared" si="2"/>
        <v>0</v>
      </c>
    </row>
    <row r="38" spans="5:19">
      <c r="E38">
        <v>68.69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P38">
        <v>68.69</v>
      </c>
      <c r="Q38">
        <f t="shared" si="0"/>
        <v>0</v>
      </c>
      <c r="R38">
        <f t="shared" si="1"/>
        <v>0</v>
      </c>
      <c r="S38">
        <f t="shared" si="2"/>
        <v>0</v>
      </c>
    </row>
    <row r="39" spans="5:19">
      <c r="E39">
        <v>79.88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P39">
        <v>79.88</v>
      </c>
      <c r="Q39">
        <f t="shared" si="0"/>
        <v>0</v>
      </c>
      <c r="R39">
        <f t="shared" si="1"/>
        <v>0</v>
      </c>
      <c r="S39">
        <f t="shared" si="2"/>
        <v>0</v>
      </c>
    </row>
    <row r="40" spans="5:19">
      <c r="E40">
        <v>92.89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P40">
        <v>92.89</v>
      </c>
      <c r="Q40">
        <f t="shared" si="0"/>
        <v>0</v>
      </c>
      <c r="R40">
        <f t="shared" si="1"/>
        <v>0</v>
      </c>
      <c r="S40">
        <f t="shared" si="2"/>
        <v>0</v>
      </c>
    </row>
    <row r="41" spans="5:19">
      <c r="E41">
        <v>108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P41">
        <v>108</v>
      </c>
      <c r="Q41">
        <f t="shared" si="0"/>
        <v>0</v>
      </c>
      <c r="R41">
        <f t="shared" si="1"/>
        <v>0</v>
      </c>
      <c r="S41">
        <f t="shared" si="2"/>
        <v>0</v>
      </c>
    </row>
    <row r="42" spans="5:19">
      <c r="E42">
        <v>125.6</v>
      </c>
      <c r="F42">
        <v>0.32316666666666666</v>
      </c>
      <c r="G42">
        <v>0</v>
      </c>
      <c r="H42">
        <v>0</v>
      </c>
      <c r="I42">
        <v>3.5700000000000003E-2</v>
      </c>
      <c r="J42">
        <v>0.83829999999999993</v>
      </c>
      <c r="K42">
        <v>0.49100000000000005</v>
      </c>
      <c r="L42">
        <v>0.18819666666666668</v>
      </c>
      <c r="M42">
        <v>0.78633333333333333</v>
      </c>
      <c r="N42">
        <v>0</v>
      </c>
      <c r="P42">
        <v>125.6</v>
      </c>
      <c r="Q42">
        <f t="shared" si="0"/>
        <v>0.10772222222222222</v>
      </c>
      <c r="R42">
        <f t="shared" si="1"/>
        <v>0.45500000000000002</v>
      </c>
      <c r="S42">
        <f t="shared" si="2"/>
        <v>0.32484333333333332</v>
      </c>
    </row>
    <row r="43" spans="5:19">
      <c r="E43">
        <v>146.1</v>
      </c>
      <c r="F43">
        <v>4.2793333333333337</v>
      </c>
      <c r="G43">
        <v>2.4923333333333333</v>
      </c>
      <c r="H43">
        <v>0</v>
      </c>
      <c r="I43">
        <v>0.49633333333333335</v>
      </c>
      <c r="J43">
        <v>4.373333333333334</v>
      </c>
      <c r="K43">
        <v>5.2416666666666663</v>
      </c>
      <c r="L43">
        <v>6.5176666666666669</v>
      </c>
      <c r="M43">
        <v>7.0509999999999993</v>
      </c>
      <c r="N43">
        <v>0</v>
      </c>
      <c r="P43">
        <v>146.1</v>
      </c>
      <c r="Q43">
        <f t="shared" si="0"/>
        <v>2.257222222222222</v>
      </c>
      <c r="R43">
        <f t="shared" si="1"/>
        <v>3.3704444444444448</v>
      </c>
      <c r="S43">
        <f t="shared" si="2"/>
        <v>4.5228888888888887</v>
      </c>
    </row>
    <row r="44" spans="5:19">
      <c r="E44">
        <v>169.9</v>
      </c>
      <c r="F44">
        <v>10.706666666666665</v>
      </c>
      <c r="G44">
        <v>18.189999999999998</v>
      </c>
      <c r="H44">
        <v>2.2706666666666666</v>
      </c>
      <c r="I44">
        <v>3.6303333333333332</v>
      </c>
      <c r="J44">
        <v>10.589666666666666</v>
      </c>
      <c r="K44">
        <v>13.89</v>
      </c>
      <c r="L44">
        <v>15.81</v>
      </c>
      <c r="M44">
        <v>15.989666666666666</v>
      </c>
      <c r="N44">
        <v>1.0410000000000001</v>
      </c>
      <c r="P44">
        <v>169.9</v>
      </c>
      <c r="Q44">
        <f t="shared" si="0"/>
        <v>10.389111111111109</v>
      </c>
      <c r="R44">
        <f t="shared" si="1"/>
        <v>9.3699999999999992</v>
      </c>
      <c r="S44">
        <f t="shared" si="2"/>
        <v>10.946888888888887</v>
      </c>
    </row>
    <row r="45" spans="5:19">
      <c r="E45">
        <v>197.6</v>
      </c>
      <c r="F45">
        <v>16.843333333333334</v>
      </c>
      <c r="G45">
        <v>31.723333333333333</v>
      </c>
      <c r="H45">
        <v>16.12</v>
      </c>
      <c r="I45">
        <v>8.8506666666666671</v>
      </c>
      <c r="J45">
        <v>16.696666666666669</v>
      </c>
      <c r="K45">
        <v>21.343333333333334</v>
      </c>
      <c r="L45">
        <v>22.64</v>
      </c>
      <c r="M45">
        <v>22.996666666666666</v>
      </c>
      <c r="N45">
        <v>25.953333333333333</v>
      </c>
      <c r="P45">
        <v>197.6</v>
      </c>
      <c r="Q45">
        <f t="shared" si="0"/>
        <v>21.562222222222221</v>
      </c>
      <c r="R45">
        <f t="shared" si="1"/>
        <v>15.630222222222223</v>
      </c>
      <c r="S45">
        <f t="shared" si="2"/>
        <v>23.863333333333333</v>
      </c>
    </row>
    <row r="46" spans="5:19">
      <c r="E46">
        <v>229.8</v>
      </c>
      <c r="F46">
        <v>20.169999999999998</v>
      </c>
      <c r="G46">
        <v>30.323333333333334</v>
      </c>
      <c r="H46">
        <v>29.063333333333333</v>
      </c>
      <c r="I46">
        <v>14.1</v>
      </c>
      <c r="J46">
        <v>19.970000000000002</v>
      </c>
      <c r="K46">
        <v>23.413333333333338</v>
      </c>
      <c r="L46">
        <v>23.503333333333334</v>
      </c>
      <c r="M46">
        <v>23.399999999999995</v>
      </c>
      <c r="N46">
        <v>40.93333333333333</v>
      </c>
      <c r="P46">
        <v>229.8</v>
      </c>
      <c r="Q46">
        <f t="shared" si="0"/>
        <v>26.518888888888892</v>
      </c>
      <c r="R46">
        <f t="shared" si="1"/>
        <v>19.161111111111111</v>
      </c>
      <c r="S46">
        <f t="shared" si="2"/>
        <v>29.278888888888886</v>
      </c>
    </row>
    <row r="47" spans="5:19">
      <c r="E47">
        <v>267.2</v>
      </c>
      <c r="F47">
        <v>19.493333333333332</v>
      </c>
      <c r="G47">
        <v>15.683333333333332</v>
      </c>
      <c r="H47">
        <v>29.78</v>
      </c>
      <c r="I47">
        <v>17.466666666666669</v>
      </c>
      <c r="J47">
        <v>19.123333333333335</v>
      </c>
      <c r="K47">
        <v>19.24666666666667</v>
      </c>
      <c r="L47">
        <v>18.323333333333334</v>
      </c>
      <c r="M47">
        <v>17.230999999999998</v>
      </c>
      <c r="N47">
        <v>26.856666666666669</v>
      </c>
      <c r="P47">
        <v>267.2</v>
      </c>
      <c r="Q47">
        <f t="shared" si="0"/>
        <v>21.652222222222221</v>
      </c>
      <c r="R47">
        <f t="shared" si="1"/>
        <v>18.612222222222226</v>
      </c>
      <c r="S47">
        <f t="shared" si="2"/>
        <v>20.803666666666668</v>
      </c>
    </row>
    <row r="48" spans="5:19">
      <c r="E48">
        <v>310.7</v>
      </c>
      <c r="F48">
        <v>15.226666666666667</v>
      </c>
      <c r="G48">
        <v>1.5886666666666667</v>
      </c>
      <c r="H48">
        <v>18.183333333333334</v>
      </c>
      <c r="I48">
        <v>17.936666666666667</v>
      </c>
      <c r="J48">
        <v>14.726666666666667</v>
      </c>
      <c r="K48">
        <v>11.400666666666666</v>
      </c>
      <c r="L48">
        <v>10.059333333333335</v>
      </c>
      <c r="M48">
        <v>8.8628666666666671</v>
      </c>
      <c r="N48">
        <v>5.2143333333333333</v>
      </c>
      <c r="P48">
        <v>310.7</v>
      </c>
      <c r="Q48">
        <f t="shared" si="0"/>
        <v>11.666222222222222</v>
      </c>
      <c r="R48">
        <f t="shared" si="1"/>
        <v>14.688000000000001</v>
      </c>
      <c r="S48">
        <f t="shared" si="2"/>
        <v>8.0455111111111126</v>
      </c>
    </row>
    <row r="49" spans="5:19">
      <c r="E49">
        <v>361.3</v>
      </c>
      <c r="F49">
        <v>9.1069999999999993</v>
      </c>
      <c r="G49">
        <v>0</v>
      </c>
      <c r="H49">
        <v>4.5813333333333333</v>
      </c>
      <c r="I49">
        <v>15.586666666666666</v>
      </c>
      <c r="J49">
        <v>8.7563333333333322</v>
      </c>
      <c r="K49">
        <v>4.174666666666667</v>
      </c>
      <c r="L49">
        <v>2.9546666666666668</v>
      </c>
      <c r="M49">
        <v>3.265133333333333</v>
      </c>
      <c r="N49">
        <v>0</v>
      </c>
      <c r="P49">
        <v>361.3</v>
      </c>
      <c r="Q49">
        <f t="shared" si="0"/>
        <v>4.5627777777777778</v>
      </c>
      <c r="R49">
        <f t="shared" si="1"/>
        <v>9.5058888888888884</v>
      </c>
      <c r="S49">
        <f t="shared" si="2"/>
        <v>2.0732666666666666</v>
      </c>
    </row>
    <row r="50" spans="5:19">
      <c r="E50">
        <v>420.2</v>
      </c>
      <c r="F50">
        <v>3.4979999999999998</v>
      </c>
      <c r="G50">
        <v>0</v>
      </c>
      <c r="H50">
        <v>0</v>
      </c>
      <c r="I50">
        <v>11.360333333333335</v>
      </c>
      <c r="J50">
        <v>3.6509999999999998</v>
      </c>
      <c r="K50">
        <v>0.80130000000000001</v>
      </c>
      <c r="L50">
        <v>0</v>
      </c>
      <c r="M50">
        <v>0.41199999999999998</v>
      </c>
      <c r="N50">
        <v>0</v>
      </c>
      <c r="P50">
        <v>420.2</v>
      </c>
      <c r="Q50">
        <f t="shared" si="0"/>
        <v>1.1659999999999999</v>
      </c>
      <c r="R50">
        <f t="shared" si="1"/>
        <v>5.2708777777777778</v>
      </c>
      <c r="S50">
        <f t="shared" si="2"/>
        <v>0.13733333333333334</v>
      </c>
    </row>
    <row r="51" spans="5:19">
      <c r="E51">
        <v>488.7</v>
      </c>
      <c r="F51">
        <v>0.34906666666666664</v>
      </c>
      <c r="G51">
        <v>0</v>
      </c>
      <c r="H51">
        <v>0</v>
      </c>
      <c r="I51">
        <v>6.6793333333333331</v>
      </c>
      <c r="J51">
        <v>1.0286666666666666</v>
      </c>
      <c r="K51">
        <v>0</v>
      </c>
      <c r="L51">
        <v>0</v>
      </c>
      <c r="M51">
        <v>0</v>
      </c>
      <c r="N51">
        <v>0</v>
      </c>
      <c r="P51">
        <v>488.7</v>
      </c>
      <c r="Q51">
        <f t="shared" si="0"/>
        <v>0.11635555555555555</v>
      </c>
      <c r="R51">
        <f t="shared" si="1"/>
        <v>2.5693333333333332</v>
      </c>
      <c r="S51">
        <f t="shared" si="2"/>
        <v>0</v>
      </c>
    </row>
    <row r="52" spans="5:19">
      <c r="E52">
        <v>568.29999999999995</v>
      </c>
      <c r="F52">
        <v>0</v>
      </c>
      <c r="G52">
        <v>0</v>
      </c>
      <c r="H52">
        <v>0</v>
      </c>
      <c r="I52">
        <v>2.9142333333333332</v>
      </c>
      <c r="J52">
        <v>0.2452</v>
      </c>
      <c r="K52">
        <v>0</v>
      </c>
      <c r="L52">
        <v>0</v>
      </c>
      <c r="M52">
        <v>0</v>
      </c>
      <c r="N52">
        <v>0</v>
      </c>
      <c r="P52">
        <v>568.29999999999995</v>
      </c>
      <c r="Q52">
        <f t="shared" si="0"/>
        <v>0</v>
      </c>
      <c r="R52">
        <f t="shared" si="1"/>
        <v>1.0531444444444444</v>
      </c>
      <c r="S52">
        <f t="shared" si="2"/>
        <v>0</v>
      </c>
    </row>
    <row r="53" spans="5:19">
      <c r="E53">
        <v>660.9</v>
      </c>
      <c r="F53">
        <v>0</v>
      </c>
      <c r="G53">
        <v>0</v>
      </c>
      <c r="H53">
        <v>0</v>
      </c>
      <c r="I53">
        <v>0.83283333333333331</v>
      </c>
      <c r="J53">
        <v>0</v>
      </c>
      <c r="K53">
        <v>0</v>
      </c>
      <c r="L53">
        <v>0</v>
      </c>
      <c r="M53">
        <v>0</v>
      </c>
      <c r="N53">
        <v>0</v>
      </c>
      <c r="P53">
        <v>660.9</v>
      </c>
      <c r="Q53">
        <f t="shared" si="0"/>
        <v>0</v>
      </c>
      <c r="R53">
        <f t="shared" si="1"/>
        <v>0.27761111111111109</v>
      </c>
      <c r="S53">
        <f t="shared" si="2"/>
        <v>0</v>
      </c>
    </row>
    <row r="54" spans="5:19">
      <c r="E54">
        <v>768.5</v>
      </c>
      <c r="F54">
        <v>0</v>
      </c>
      <c r="G54">
        <v>0</v>
      </c>
      <c r="H54">
        <v>0</v>
      </c>
      <c r="I54">
        <v>0.1043</v>
      </c>
      <c r="J54">
        <v>0</v>
      </c>
      <c r="K54">
        <v>0</v>
      </c>
      <c r="L54">
        <v>0</v>
      </c>
      <c r="M54">
        <v>0</v>
      </c>
      <c r="N54">
        <v>0</v>
      </c>
      <c r="P54">
        <v>768.5</v>
      </c>
      <c r="Q54">
        <f t="shared" si="0"/>
        <v>0</v>
      </c>
      <c r="R54">
        <f t="shared" si="1"/>
        <v>3.4766666666666668E-2</v>
      </c>
      <c r="S54">
        <f t="shared" si="2"/>
        <v>0</v>
      </c>
    </row>
    <row r="55" spans="5:19">
      <c r="E55">
        <v>893.8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P55">
        <v>893.8</v>
      </c>
      <c r="Q55">
        <f t="shared" si="0"/>
        <v>0</v>
      </c>
      <c r="R55">
        <f t="shared" si="1"/>
        <v>0</v>
      </c>
      <c r="S55">
        <f t="shared" si="2"/>
        <v>0</v>
      </c>
    </row>
    <row r="56" spans="5:19">
      <c r="E56">
        <v>1039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P56">
        <v>1039</v>
      </c>
      <c r="Q56">
        <f t="shared" si="0"/>
        <v>0</v>
      </c>
      <c r="R56">
        <f t="shared" si="1"/>
        <v>0</v>
      </c>
      <c r="S56">
        <f t="shared" si="2"/>
        <v>0</v>
      </c>
    </row>
    <row r="57" spans="5:19">
      <c r="E57">
        <v>1209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P57">
        <v>1209</v>
      </c>
      <c r="Q57">
        <f t="shared" si="0"/>
        <v>0</v>
      </c>
      <c r="R57">
        <f t="shared" si="1"/>
        <v>0</v>
      </c>
      <c r="S57">
        <f t="shared" si="2"/>
        <v>0</v>
      </c>
    </row>
    <row r="58" spans="5:19">
      <c r="E58">
        <v>1406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P58">
        <v>1406</v>
      </c>
      <c r="Q58">
        <f t="shared" si="0"/>
        <v>0</v>
      </c>
      <c r="R58">
        <f t="shared" si="1"/>
        <v>0</v>
      </c>
      <c r="S58">
        <f t="shared" si="2"/>
        <v>0</v>
      </c>
    </row>
    <row r="59" spans="5:19">
      <c r="E59">
        <v>1635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P59">
        <v>1635</v>
      </c>
      <c r="Q59">
        <f t="shared" si="0"/>
        <v>0</v>
      </c>
      <c r="R59">
        <f t="shared" si="1"/>
        <v>0</v>
      </c>
      <c r="S59">
        <f t="shared" si="2"/>
        <v>0</v>
      </c>
    </row>
    <row r="60" spans="5:19">
      <c r="E60">
        <v>1901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P60">
        <v>1901</v>
      </c>
      <c r="Q60">
        <f t="shared" si="0"/>
        <v>0</v>
      </c>
      <c r="R60">
        <f t="shared" si="1"/>
        <v>0</v>
      </c>
      <c r="S60">
        <f t="shared" si="2"/>
        <v>0</v>
      </c>
    </row>
    <row r="61" spans="5:19">
      <c r="E61">
        <v>2211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P61">
        <v>2211</v>
      </c>
      <c r="Q61">
        <f t="shared" si="0"/>
        <v>0</v>
      </c>
      <c r="R61">
        <f t="shared" si="1"/>
        <v>0</v>
      </c>
      <c r="S61">
        <f t="shared" si="2"/>
        <v>0</v>
      </c>
    </row>
    <row r="62" spans="5:19">
      <c r="E62">
        <v>2571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P62">
        <v>2571</v>
      </c>
      <c r="Q62">
        <f t="shared" si="0"/>
        <v>0</v>
      </c>
      <c r="R62">
        <f t="shared" si="1"/>
        <v>0</v>
      </c>
      <c r="S62">
        <f t="shared" si="2"/>
        <v>0</v>
      </c>
    </row>
    <row r="63" spans="5:19">
      <c r="E63">
        <v>2990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P63">
        <v>2990</v>
      </c>
      <c r="Q63">
        <f t="shared" si="0"/>
        <v>0</v>
      </c>
      <c r="R63">
        <f t="shared" si="1"/>
        <v>0</v>
      </c>
      <c r="S63">
        <f t="shared" si="2"/>
        <v>0</v>
      </c>
    </row>
    <row r="64" spans="5:19">
      <c r="E64">
        <v>3477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P64">
        <v>3477</v>
      </c>
      <c r="Q64">
        <f t="shared" si="0"/>
        <v>0</v>
      </c>
      <c r="R64">
        <f t="shared" si="1"/>
        <v>0</v>
      </c>
      <c r="S64">
        <f t="shared" si="2"/>
        <v>0</v>
      </c>
    </row>
    <row r="65" spans="3:19">
      <c r="E65">
        <v>4043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P65">
        <v>4043</v>
      </c>
      <c r="Q65">
        <f t="shared" si="0"/>
        <v>0</v>
      </c>
      <c r="R65">
        <f t="shared" si="1"/>
        <v>0</v>
      </c>
      <c r="S65">
        <f t="shared" si="2"/>
        <v>0</v>
      </c>
    </row>
    <row r="66" spans="3:19">
      <c r="E66">
        <v>4702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P66">
        <v>4702</v>
      </c>
      <c r="Q66">
        <f t="shared" si="0"/>
        <v>0</v>
      </c>
      <c r="R66">
        <f t="shared" si="1"/>
        <v>0</v>
      </c>
      <c r="S66">
        <f t="shared" si="2"/>
        <v>0</v>
      </c>
    </row>
    <row r="67" spans="3:19">
      <c r="E67">
        <v>5468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P67">
        <v>5468</v>
      </c>
      <c r="Q67">
        <f>AVERAGE(F67,G67,H67)</f>
        <v>0</v>
      </c>
      <c r="R67">
        <f>AVERAGE(I67:K67)</f>
        <v>0</v>
      </c>
      <c r="S67">
        <f>AVERAGE(L67:N67)</f>
        <v>0</v>
      </c>
    </row>
    <row r="68" spans="3:19">
      <c r="E68">
        <v>6358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P68">
        <v>6358</v>
      </c>
      <c r="Q68">
        <f>AVERAGE(F68,G68,H68)</f>
        <v>0</v>
      </c>
      <c r="R68">
        <f>AVERAGE(I68:K68)</f>
        <v>0</v>
      </c>
      <c r="S68">
        <f>AVERAGE(L68:N68)</f>
        <v>0</v>
      </c>
    </row>
    <row r="69" spans="3:19">
      <c r="E69">
        <v>7394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P69">
        <v>7394</v>
      </c>
      <c r="Q69">
        <f>AVERAGE(F69,G69,H69)</f>
        <v>0</v>
      </c>
      <c r="R69">
        <f>AVERAGE(I69:K69)</f>
        <v>0</v>
      </c>
      <c r="S69">
        <f>AVERAGE(L69:N69)</f>
        <v>0</v>
      </c>
    </row>
    <row r="70" spans="3:19">
      <c r="E70">
        <v>8599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P70">
        <v>8599</v>
      </c>
      <c r="Q70">
        <f>AVERAGE(F70,G70,H70)</f>
        <v>0</v>
      </c>
      <c r="R70">
        <f>AVERAGE(I70:K70)</f>
        <v>0</v>
      </c>
      <c r="S70">
        <f>AVERAGE(L70:N70)</f>
        <v>0</v>
      </c>
    </row>
    <row r="71" spans="3:19">
      <c r="E71">
        <v>10000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P71">
        <v>10000</v>
      </c>
      <c r="Q71">
        <f>AVERAGE(F71,G71,H71)</f>
        <v>0</v>
      </c>
      <c r="R71">
        <f>AVERAGE(I71:K71)</f>
        <v>0</v>
      </c>
      <c r="S71">
        <f>AVERAGE(L71:N71)</f>
        <v>0</v>
      </c>
    </row>
    <row r="73" spans="3:19">
      <c r="D73" t="s">
        <v>18</v>
      </c>
      <c r="E73" t="s">
        <v>19</v>
      </c>
      <c r="F73" t="s">
        <v>18</v>
      </c>
      <c r="G73" t="s">
        <v>19</v>
      </c>
      <c r="H73" t="s">
        <v>18</v>
      </c>
      <c r="I73" t="s">
        <v>19</v>
      </c>
    </row>
    <row r="74" spans="3:19">
      <c r="C74" t="s">
        <v>20</v>
      </c>
      <c r="D74" s="6" t="s">
        <v>21</v>
      </c>
      <c r="E74" s="6"/>
      <c r="F74" s="6" t="s">
        <v>22</v>
      </c>
      <c r="G74" s="6"/>
      <c r="H74" s="6" t="s">
        <v>23</v>
      </c>
      <c r="I74" s="6"/>
    </row>
    <row r="75" spans="3:19">
      <c r="C75">
        <v>0.3</v>
      </c>
      <c r="D75">
        <f>'0.25 size'!B74</f>
        <v>251.4</v>
      </c>
      <c r="E75">
        <f>'0.25 size'!C74</f>
        <v>1.575</v>
      </c>
      <c r="F75">
        <f>'0.25 size'!B80</f>
        <v>295.2</v>
      </c>
      <c r="G75">
        <f>'0.25 size'!C80</f>
        <v>14.34</v>
      </c>
      <c r="H75">
        <f>'0.25 size'!B86</f>
        <v>344.8</v>
      </c>
      <c r="I75">
        <f>'0.25 size'!C86</f>
        <v>4.9569999999999999</v>
      </c>
    </row>
    <row r="76" spans="3:19">
      <c r="C76">
        <v>0.7</v>
      </c>
      <c r="D76">
        <f>'0.7 size'!J74</f>
        <v>301.8</v>
      </c>
      <c r="E76">
        <f>'0.7 size'!K74</f>
        <v>5.476</v>
      </c>
      <c r="F76">
        <f>'0.7 size'!J80</f>
        <v>249.7</v>
      </c>
      <c r="G76">
        <f>'0.7 size'!K80</f>
        <v>2.3690000000000002</v>
      </c>
      <c r="H76">
        <f>'0.7 size'!J86</f>
        <v>280.2</v>
      </c>
      <c r="I76">
        <f>'0.7 size'!K86</f>
        <v>8.0670000000000002</v>
      </c>
    </row>
    <row r="77" spans="3:19">
      <c r="C77">
        <v>2.2999999999999998</v>
      </c>
      <c r="D77">
        <f>'2.7 size'!F74</f>
        <v>230.6</v>
      </c>
      <c r="E77">
        <f>'2.7 size'!G74</f>
        <v>1.1930000000000001</v>
      </c>
      <c r="F77">
        <f>'2.7 size'!F80</f>
        <v>283.60000000000002</v>
      </c>
      <c r="G77">
        <f>'2.7 size'!G80</f>
        <v>38.380000000000003</v>
      </c>
      <c r="H77">
        <f>'2.7 size'!F86</f>
        <v>416.8</v>
      </c>
      <c r="I77">
        <f>'2.7 size'!G86</f>
        <v>18.329999999999998</v>
      </c>
    </row>
    <row r="80" spans="3:19">
      <c r="D80" s="6" t="s">
        <v>24</v>
      </c>
      <c r="E80" s="6"/>
      <c r="F80" s="6"/>
      <c r="G80" s="6"/>
      <c r="H80" s="6" t="s">
        <v>25</v>
      </c>
      <c r="I80" s="6"/>
      <c r="J80" s="6"/>
      <c r="K80" s="6"/>
      <c r="M80" t="s">
        <v>25</v>
      </c>
    </row>
    <row r="81" spans="3:19">
      <c r="D81" t="s">
        <v>26</v>
      </c>
      <c r="E81" t="s">
        <v>19</v>
      </c>
      <c r="F81" t="s">
        <v>27</v>
      </c>
      <c r="G81" t="s">
        <v>28</v>
      </c>
      <c r="H81" t="s">
        <v>29</v>
      </c>
      <c r="I81" t="s">
        <v>19</v>
      </c>
      <c r="J81" t="s">
        <v>27</v>
      </c>
      <c r="K81" t="s">
        <v>28</v>
      </c>
      <c r="M81" t="s">
        <v>30</v>
      </c>
      <c r="Q81" t="s">
        <v>31</v>
      </c>
      <c r="R81" t="s">
        <v>32</v>
      </c>
      <c r="S81" t="s">
        <v>33</v>
      </c>
    </row>
    <row r="82" spans="3:19">
      <c r="C82" t="s">
        <v>34</v>
      </c>
      <c r="D82">
        <v>267.89806974175565</v>
      </c>
      <c r="E82">
        <v>122.66465050228791</v>
      </c>
      <c r="F82" s="1">
        <v>151419765.42365751</v>
      </c>
      <c r="G82" s="1">
        <v>15649634.460632199</v>
      </c>
      <c r="M82">
        <f>'0.25 size'!H74</f>
        <v>251.8</v>
      </c>
      <c r="N82">
        <f>'0.25 size'!I74</f>
        <v>249.7</v>
      </c>
      <c r="O82">
        <f>'0.25 size'!J74</f>
        <v>252.8</v>
      </c>
      <c r="P82" s="5">
        <f>AVERAGE(M82:O84)</f>
        <v>292.16666666666669</v>
      </c>
      <c r="Q82">
        <f>M82</f>
        <v>251.8</v>
      </c>
      <c r="R82">
        <f>M87</f>
        <v>339.1</v>
      </c>
      <c r="S82">
        <f>M92</f>
        <v>231.5</v>
      </c>
    </row>
    <row r="83" spans="3:19">
      <c r="C83" t="s">
        <v>35</v>
      </c>
      <c r="D83">
        <v>255.54226169450473</v>
      </c>
      <c r="E83">
        <v>119.85108745016905</v>
      </c>
      <c r="F83" s="1">
        <v>158911439.67300802</v>
      </c>
      <c r="G83" s="1">
        <v>20508639.047282636</v>
      </c>
      <c r="M83">
        <f>'0.25 size'!H75</f>
        <v>273.3</v>
      </c>
      <c r="N83">
        <f>'0.25 size'!I75</f>
        <v>291.39999999999998</v>
      </c>
      <c r="O83">
        <f>'0.25 size'!J75</f>
        <v>276.10000000000002</v>
      </c>
      <c r="P83" s="5">
        <f>STDEV(M82:O84)</f>
        <v>41.768528822547907</v>
      </c>
      <c r="Q83">
        <f>N82</f>
        <v>249.7</v>
      </c>
      <c r="R83">
        <f>N87</f>
        <v>307.7</v>
      </c>
      <c r="S83">
        <f>N92</f>
        <v>231.1</v>
      </c>
    </row>
    <row r="84" spans="3:19">
      <c r="C84" t="s">
        <v>36</v>
      </c>
      <c r="D84">
        <v>288.58662582420436</v>
      </c>
      <c r="E84">
        <v>126.03509682778672</v>
      </c>
      <c r="F84" s="1">
        <v>159685478.42791131</v>
      </c>
      <c r="G84" s="1">
        <v>19980486.475260891</v>
      </c>
      <c r="M84">
        <f>'0.25 size'!H76</f>
        <v>347.8</v>
      </c>
      <c r="N84">
        <f>'0.25 size'!I76</f>
        <v>339.1</v>
      </c>
      <c r="O84">
        <f>'0.25 size'!J76</f>
        <v>347.5</v>
      </c>
      <c r="P84" s="5"/>
      <c r="Q84">
        <f>O82</f>
        <v>252.8</v>
      </c>
      <c r="R84">
        <f>O87</f>
        <v>313.5</v>
      </c>
      <c r="S84">
        <f>O92</f>
        <v>229.3</v>
      </c>
    </row>
    <row r="85" spans="3:19">
      <c r="C85" t="s">
        <v>37</v>
      </c>
      <c r="D85">
        <v>250.28581489899798</v>
      </c>
      <c r="E85">
        <v>119.50875564234721</v>
      </c>
      <c r="F85" s="1">
        <v>261185101.00201684</v>
      </c>
      <c r="G85" s="1">
        <v>18142372.827096071</v>
      </c>
      <c r="H85">
        <f>D75</f>
        <v>251.4</v>
      </c>
      <c r="I85">
        <f>E75</f>
        <v>1.575</v>
      </c>
      <c r="J85" s="1">
        <f>'0.25 Con'!B3</f>
        <v>259000000</v>
      </c>
      <c r="K85" s="1">
        <f>'0.25 Con'!C3</f>
        <v>39660000</v>
      </c>
      <c r="P85" s="5"/>
      <c r="Q85">
        <f>M83</f>
        <v>273.3</v>
      </c>
      <c r="R85">
        <f>M88</f>
        <v>251.4</v>
      </c>
      <c r="S85">
        <f>M93</f>
        <v>245.4</v>
      </c>
    </row>
    <row r="86" spans="3:19">
      <c r="C86" t="s">
        <v>38</v>
      </c>
      <c r="D86">
        <v>231.61181962157207</v>
      </c>
      <c r="E86">
        <v>126.5051262815704</v>
      </c>
      <c r="F86" s="1">
        <v>98150671.001083598</v>
      </c>
      <c r="G86" s="1">
        <v>15213336.667500209</v>
      </c>
      <c r="H86">
        <f>F75</f>
        <v>295.2</v>
      </c>
      <c r="I86">
        <f>E76</f>
        <v>5.476</v>
      </c>
      <c r="J86" s="1">
        <f>'0.25 Con'!B10</f>
        <v>116500000</v>
      </c>
      <c r="K86" s="1">
        <f>'0.25 Con'!C10</f>
        <v>21500000</v>
      </c>
      <c r="M86" t="s">
        <v>39</v>
      </c>
      <c r="P86" s="5"/>
      <c r="Q86">
        <f>N83</f>
        <v>291.39999999999998</v>
      </c>
      <c r="R86">
        <f>N88</f>
        <v>247</v>
      </c>
      <c r="S86">
        <f>N93</f>
        <v>275.60000000000002</v>
      </c>
    </row>
    <row r="87" spans="3:19">
      <c r="C87" t="s">
        <v>40</v>
      </c>
      <c r="D87">
        <v>265.98712601994561</v>
      </c>
      <c r="E87">
        <v>130.07044424297371</v>
      </c>
      <c r="F87" s="1">
        <v>74585167.724388033</v>
      </c>
      <c r="G87" s="1">
        <v>7926388.9392565731</v>
      </c>
      <c r="H87">
        <f>H75</f>
        <v>344.8</v>
      </c>
      <c r="I87">
        <f>E77</f>
        <v>1.1930000000000001</v>
      </c>
      <c r="J87" s="1">
        <f>'0.25 Con'!B17</f>
        <v>64790000</v>
      </c>
      <c r="K87" s="1">
        <f>'0.25 Con'!C17</f>
        <v>16930000</v>
      </c>
      <c r="M87">
        <f>'0.7 size'!P74</f>
        <v>339.1</v>
      </c>
      <c r="N87">
        <f>'0.7 size'!Q74</f>
        <v>307.7</v>
      </c>
      <c r="O87">
        <f>'0.7 size'!R74</f>
        <v>313.5</v>
      </c>
      <c r="P87" s="5">
        <f>AVERAGE(M87:O89)</f>
        <v>291.56666666666666</v>
      </c>
      <c r="Q87">
        <f>O83</f>
        <v>276.10000000000002</v>
      </c>
      <c r="R87">
        <f>O88</f>
        <v>250.8</v>
      </c>
      <c r="S87">
        <f>O93</f>
        <v>251.8</v>
      </c>
    </row>
    <row r="88" spans="3:19">
      <c r="C88" t="s">
        <v>9</v>
      </c>
      <c r="D88">
        <v>300.20520397866511</v>
      </c>
      <c r="E88">
        <v>120.74917111143145</v>
      </c>
      <c r="F88" s="1">
        <v>126443491.42280525</v>
      </c>
      <c r="G88" s="1">
        <v>12966001.15323627</v>
      </c>
      <c r="H88">
        <f>D76</f>
        <v>301.8</v>
      </c>
      <c r="I88">
        <f>G75</f>
        <v>14.34</v>
      </c>
      <c r="J88" s="1">
        <f>'0.7 Con'!B3</f>
        <v>141300000</v>
      </c>
      <c r="K88" s="1">
        <f>'0.7 Con'!C3</f>
        <v>20520000</v>
      </c>
      <c r="M88">
        <f>'0.7 size'!P75</f>
        <v>251.4</v>
      </c>
      <c r="N88">
        <f>'0.7 size'!Q75</f>
        <v>247</v>
      </c>
      <c r="O88">
        <f>'0.7 size'!R75</f>
        <v>250.8</v>
      </c>
      <c r="P88" s="5">
        <f>STDEV(M87:O89)</f>
        <v>34.076238055278381</v>
      </c>
      <c r="Q88">
        <f>M84</f>
        <v>347.8</v>
      </c>
      <c r="R88">
        <f>M89</f>
        <v>304.3</v>
      </c>
      <c r="S88">
        <f>M94</f>
        <v>432.5</v>
      </c>
    </row>
    <row r="89" spans="3:19">
      <c r="C89" t="s">
        <v>10</v>
      </c>
      <c r="D89">
        <v>238.8220307992361</v>
      </c>
      <c r="E89">
        <v>103.28479135345984</v>
      </c>
      <c r="F89" s="1">
        <v>205201495.26634431</v>
      </c>
      <c r="G89" s="1">
        <v>19736910.32465158</v>
      </c>
      <c r="H89">
        <f>F76</f>
        <v>249.7</v>
      </c>
      <c r="I89">
        <f>G76</f>
        <v>2.3690000000000002</v>
      </c>
      <c r="J89" s="1">
        <f>'0.7 Con'!B10</f>
        <v>197900000</v>
      </c>
      <c r="K89" s="1">
        <f>'0.7 Con'!C10</f>
        <v>7906000</v>
      </c>
      <c r="M89">
        <f>'0.7 size'!P76</f>
        <v>304.3</v>
      </c>
      <c r="N89">
        <f>'0.7 size'!Q76</f>
        <v>320.89999999999998</v>
      </c>
      <c r="O89">
        <f>'0.7 size'!R76</f>
        <v>289.39999999999998</v>
      </c>
      <c r="P89" s="5"/>
      <c r="Q89">
        <f>N84</f>
        <v>339.1</v>
      </c>
      <c r="R89">
        <f>N89</f>
        <v>320.89999999999998</v>
      </c>
      <c r="S89">
        <f>N94</f>
        <v>396.7</v>
      </c>
    </row>
    <row r="90" spans="3:19">
      <c r="C90" t="s">
        <v>11</v>
      </c>
      <c r="D90">
        <v>219.48928727590732</v>
      </c>
      <c r="E90">
        <v>124.14735461303017</v>
      </c>
      <c r="F90" s="1">
        <v>62794228.246611282</v>
      </c>
      <c r="G90" s="1">
        <v>7608027.9842588548</v>
      </c>
      <c r="H90">
        <f>H76</f>
        <v>280.2</v>
      </c>
      <c r="I90">
        <f>G77</f>
        <v>38.380000000000003</v>
      </c>
      <c r="J90" s="1">
        <f>'0.7 Con'!B16</f>
        <v>81950000</v>
      </c>
      <c r="K90" s="1">
        <f>'0.7 Con'!C16</f>
        <v>10010000</v>
      </c>
      <c r="P90" s="5"/>
      <c r="Q90">
        <f>O84</f>
        <v>347.5</v>
      </c>
      <c r="R90">
        <f>O89</f>
        <v>289.39999999999998</v>
      </c>
      <c r="S90">
        <f>O94</f>
        <v>421.3</v>
      </c>
    </row>
    <row r="91" spans="3:19">
      <c r="C91" t="s">
        <v>12</v>
      </c>
      <c r="D91">
        <v>222.68971040214709</v>
      </c>
      <c r="E91">
        <v>97.664603263927972</v>
      </c>
      <c r="F91" s="1">
        <v>162370113.84788537</v>
      </c>
      <c r="G91" s="1">
        <v>14460810.354530107</v>
      </c>
      <c r="H91">
        <f>D77</f>
        <v>230.6</v>
      </c>
      <c r="I91">
        <f>I75</f>
        <v>4.9569999999999999</v>
      </c>
      <c r="J91" s="1">
        <f>'2.7 conc'!B3</f>
        <v>153400000</v>
      </c>
      <c r="K91" s="1">
        <f>'2.7 conc'!C3</f>
        <v>18230000</v>
      </c>
      <c r="M91" t="s">
        <v>41</v>
      </c>
      <c r="P91" s="5"/>
    </row>
    <row r="92" spans="3:19">
      <c r="C92" t="s">
        <v>13</v>
      </c>
      <c r="D92">
        <v>214.12704942116707</v>
      </c>
      <c r="E92">
        <v>104.80666392431098</v>
      </c>
      <c r="F92" s="1">
        <v>123726450.02056767</v>
      </c>
      <c r="G92" s="1">
        <v>12482549.215490391</v>
      </c>
      <c r="H92">
        <f>F77</f>
        <v>283.60000000000002</v>
      </c>
      <c r="I92">
        <f>I76</f>
        <v>8.0670000000000002</v>
      </c>
      <c r="J92" s="1">
        <f>'2.7 conc'!B10</f>
        <v>114900000</v>
      </c>
      <c r="K92" s="1">
        <f>'2.7 conc'!C10</f>
        <v>20400000</v>
      </c>
      <c r="M92">
        <f>'2.7 size'!L74</f>
        <v>231.5</v>
      </c>
      <c r="N92">
        <f>'2.7 size'!M74</f>
        <v>231.1</v>
      </c>
      <c r="O92">
        <f>'2.7 size'!N74</f>
        <v>229.3</v>
      </c>
      <c r="P92" s="5">
        <f>AVERAGE(M92:O94)</f>
        <v>301.68888888888893</v>
      </c>
    </row>
    <row r="93" spans="3:19">
      <c r="C93" t="s">
        <v>14</v>
      </c>
      <c r="D93">
        <v>264.53478309109067</v>
      </c>
      <c r="E93">
        <v>144.12814823033395</v>
      </c>
      <c r="F93" s="1">
        <v>73525707.311660931</v>
      </c>
      <c r="G93" s="1">
        <v>13725555.308998113</v>
      </c>
      <c r="H93">
        <f>H77</f>
        <v>416.8</v>
      </c>
      <c r="I93">
        <f>I77</f>
        <v>18.329999999999998</v>
      </c>
      <c r="J93" s="1">
        <f>'2.7 conc'!B17</f>
        <v>69420000</v>
      </c>
      <c r="K93" s="1">
        <f>'2.7 conc'!C17</f>
        <v>7989000</v>
      </c>
      <c r="M93">
        <f>'2.7 size'!L75</f>
        <v>245.4</v>
      </c>
      <c r="N93">
        <f>'2.7 size'!M75</f>
        <v>275.60000000000002</v>
      </c>
      <c r="O93">
        <f>'2.7 size'!N75</f>
        <v>251.8</v>
      </c>
      <c r="P93" s="5">
        <f>STDEV(M92:O94)</f>
        <v>87.986411514000807</v>
      </c>
    </row>
    <row r="94" spans="3:19">
      <c r="M94">
        <f>'2.7 size'!L76</f>
        <v>432.5</v>
      </c>
      <c r="N94">
        <f>'2.7 size'!M76</f>
        <v>396.7</v>
      </c>
      <c r="O94">
        <f>'2.7 size'!N76</f>
        <v>421.3</v>
      </c>
    </row>
    <row r="96" spans="3:19">
      <c r="D96" t="s">
        <v>24</v>
      </c>
    </row>
    <row r="97" spans="5:11">
      <c r="E97" t="s">
        <v>42</v>
      </c>
    </row>
    <row r="98" spans="5:11" ht="16.5" thickBot="1"/>
    <row r="99" spans="5:11">
      <c r="E99" s="4"/>
      <c r="F99" s="4" t="s">
        <v>43</v>
      </c>
      <c r="G99" s="4" t="s">
        <v>44</v>
      </c>
      <c r="I99" t="s">
        <v>45</v>
      </c>
    </row>
    <row r="100" spans="5:11" ht="16.5" thickBot="1">
      <c r="E100" t="s">
        <v>46</v>
      </c>
      <c r="F100">
        <v>131998047.31592928</v>
      </c>
      <c r="G100">
        <v>133240000</v>
      </c>
    </row>
    <row r="101" spans="5:11">
      <c r="E101" t="s">
        <v>47</v>
      </c>
      <c r="F101">
        <v>4464980152009304</v>
      </c>
      <c r="G101">
        <v>4059190575000000</v>
      </c>
      <c r="I101" s="4"/>
      <c r="J101" s="4" t="s">
        <v>43</v>
      </c>
      <c r="K101" s="4" t="s">
        <v>44</v>
      </c>
    </row>
    <row r="102" spans="5:11">
      <c r="E102" t="s">
        <v>48</v>
      </c>
      <c r="F102">
        <v>9</v>
      </c>
      <c r="G102">
        <v>9</v>
      </c>
      <c r="I102" t="s">
        <v>46</v>
      </c>
      <c r="J102">
        <v>131998047.31592928</v>
      </c>
      <c r="K102">
        <v>133240000</v>
      </c>
    </row>
    <row r="103" spans="5:11">
      <c r="E103" t="s">
        <v>49</v>
      </c>
      <c r="F103">
        <v>0</v>
      </c>
      <c r="I103" t="s">
        <v>47</v>
      </c>
      <c r="J103">
        <v>4464980152009304</v>
      </c>
      <c r="K103">
        <v>4059190575000000</v>
      </c>
    </row>
    <row r="104" spans="5:11">
      <c r="E104" t="s">
        <v>50</v>
      </c>
      <c r="F104">
        <v>16</v>
      </c>
      <c r="I104" t="s">
        <v>48</v>
      </c>
      <c r="J104">
        <v>9</v>
      </c>
      <c r="K104">
        <v>9</v>
      </c>
    </row>
    <row r="105" spans="5:11">
      <c r="E105" t="s">
        <v>51</v>
      </c>
      <c r="F105">
        <v>-4.0355267962128197E-2</v>
      </c>
      <c r="I105" t="s">
        <v>52</v>
      </c>
      <c r="J105">
        <v>0.98293472002199955</v>
      </c>
    </row>
    <row r="106" spans="5:11">
      <c r="E106" t="s">
        <v>53</v>
      </c>
      <c r="F106">
        <v>0.48415458492930885</v>
      </c>
      <c r="I106" t="s">
        <v>49</v>
      </c>
      <c r="J106">
        <v>0</v>
      </c>
    </row>
    <row r="107" spans="5:11">
      <c r="E107" t="s">
        <v>54</v>
      </c>
      <c r="F107">
        <v>1.7458836762762506</v>
      </c>
      <c r="I107" t="s">
        <v>50</v>
      </c>
      <c r="J107">
        <v>8</v>
      </c>
    </row>
    <row r="108" spans="5:11">
      <c r="E108" t="s">
        <v>55</v>
      </c>
      <c r="F108">
        <v>0.9683091698586177</v>
      </c>
      <c r="I108" t="s">
        <v>51</v>
      </c>
      <c r="J108">
        <v>-0.29930033312217025</v>
      </c>
    </row>
    <row r="109" spans="5:11" ht="16.5" thickBot="1">
      <c r="E109" s="3" t="s">
        <v>56</v>
      </c>
      <c r="F109" s="3">
        <v>2.119905299221255</v>
      </c>
      <c r="G109" s="3"/>
      <c r="I109" t="s">
        <v>53</v>
      </c>
      <c r="J109">
        <v>0.38616954787028401</v>
      </c>
    </row>
    <row r="110" spans="5:11">
      <c r="I110" t="s">
        <v>54</v>
      </c>
      <c r="J110">
        <v>1.8595480375308981</v>
      </c>
    </row>
    <row r="111" spans="5:11">
      <c r="I111" t="s">
        <v>55</v>
      </c>
      <c r="J111">
        <v>0.77233909574056803</v>
      </c>
    </row>
    <row r="112" spans="5:11" ht="16.5" thickBot="1">
      <c r="I112" s="3" t="s">
        <v>56</v>
      </c>
      <c r="J112" s="3">
        <v>2.3060041352041671</v>
      </c>
      <c r="K112" s="3"/>
    </row>
  </sheetData>
  <mergeCells count="5">
    <mergeCell ref="D74:E74"/>
    <mergeCell ref="F74:G74"/>
    <mergeCell ref="H74:I74"/>
    <mergeCell ref="D80:G80"/>
    <mergeCell ref="H80:K80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E42D9-5976-43DC-9C07-7C122D6E1B59}">
  <dimension ref="A1:W71"/>
  <sheetViews>
    <sheetView topLeftCell="E1" workbookViewId="0">
      <selection activeCell="U2" sqref="U2:W71"/>
    </sheetView>
  </sheetViews>
  <sheetFormatPr defaultRowHeight="15.75"/>
  <sheetData>
    <row r="1" spans="1:23">
      <c r="A1" t="s">
        <v>57</v>
      </c>
      <c r="B1" t="s">
        <v>58</v>
      </c>
      <c r="C1" t="s">
        <v>57</v>
      </c>
      <c r="D1" t="s">
        <v>58</v>
      </c>
      <c r="E1" t="s">
        <v>57</v>
      </c>
      <c r="F1" t="s">
        <v>58</v>
      </c>
      <c r="G1" t="s">
        <v>59</v>
      </c>
      <c r="H1" t="s">
        <v>60</v>
      </c>
      <c r="I1" t="s">
        <v>59</v>
      </c>
      <c r="J1" t="s">
        <v>60</v>
      </c>
      <c r="K1" t="s">
        <v>59</v>
      </c>
      <c r="L1" t="s">
        <v>60</v>
      </c>
      <c r="M1" t="s">
        <v>61</v>
      </c>
      <c r="N1" t="s">
        <v>62</v>
      </c>
      <c r="O1" t="s">
        <v>61</v>
      </c>
      <c r="P1" t="s">
        <v>62</v>
      </c>
      <c r="Q1" t="s">
        <v>61</v>
      </c>
      <c r="R1" t="s">
        <v>62</v>
      </c>
      <c r="T1" t="str" cm="1">
        <f t="array" ref="T1:T71">A1:A71</f>
        <v>Size (d.nm) - 0B_S1_2xCen_20250516_isolated [Steady state]</v>
      </c>
      <c r="U1" t="s">
        <v>9</v>
      </c>
      <c r="V1" t="s">
        <v>10</v>
      </c>
      <c r="W1" t="s">
        <v>11</v>
      </c>
    </row>
    <row r="2" spans="1:23">
      <c r="A2">
        <v>0.3</v>
      </c>
      <c r="B2">
        <v>0</v>
      </c>
      <c r="C2">
        <v>0.3</v>
      </c>
      <c r="D2">
        <v>0</v>
      </c>
      <c r="E2">
        <v>0.3</v>
      </c>
      <c r="F2">
        <v>0</v>
      </c>
      <c r="G2">
        <v>0.3</v>
      </c>
      <c r="H2">
        <v>0</v>
      </c>
      <c r="I2">
        <v>0.3</v>
      </c>
      <c r="J2">
        <v>0</v>
      </c>
      <c r="K2">
        <v>0.3</v>
      </c>
      <c r="L2">
        <v>0</v>
      </c>
      <c r="M2">
        <v>0.3</v>
      </c>
      <c r="N2">
        <v>0</v>
      </c>
      <c r="O2">
        <v>0.3</v>
      </c>
      <c r="P2">
        <v>0</v>
      </c>
      <c r="Q2">
        <v>0.3</v>
      </c>
      <c r="R2">
        <v>0</v>
      </c>
      <c r="T2">
        <v>0.3</v>
      </c>
      <c r="U2">
        <f>AVERAGE(B2,D2,F2)</f>
        <v>0</v>
      </c>
      <c r="V2">
        <f>AVERAGE(H2,J2,L2)</f>
        <v>0</v>
      </c>
      <c r="W2">
        <f>AVERAGE(N2,P2,R2)</f>
        <v>0</v>
      </c>
    </row>
    <row r="3" spans="1:23">
      <c r="A3">
        <v>0.34889999999999999</v>
      </c>
      <c r="B3">
        <v>0</v>
      </c>
      <c r="C3">
        <v>0.34889999999999999</v>
      </c>
      <c r="D3">
        <v>0</v>
      </c>
      <c r="E3">
        <v>0.34889999999999999</v>
      </c>
      <c r="F3">
        <v>0</v>
      </c>
      <c r="G3">
        <v>0.34889999999999999</v>
      </c>
      <c r="H3">
        <v>0</v>
      </c>
      <c r="I3">
        <v>0.34889999999999999</v>
      </c>
      <c r="J3">
        <v>0</v>
      </c>
      <c r="K3">
        <v>0.34889999999999999</v>
      </c>
      <c r="L3">
        <v>0</v>
      </c>
      <c r="M3">
        <v>0.34889999999999999</v>
      </c>
      <c r="N3">
        <v>0</v>
      </c>
      <c r="O3">
        <v>0.34889999999999999</v>
      </c>
      <c r="P3">
        <v>0</v>
      </c>
      <c r="Q3">
        <v>0.34889999999999999</v>
      </c>
      <c r="R3">
        <v>0</v>
      </c>
      <c r="T3">
        <v>0.34889999999999999</v>
      </c>
      <c r="U3">
        <f t="shared" ref="U3:U66" si="0">AVERAGE(B3,D3,F3)</f>
        <v>0</v>
      </c>
      <c r="V3">
        <f t="shared" ref="V3:V66" si="1">AVERAGE(H3,J3,L3)</f>
        <v>0</v>
      </c>
      <c r="W3">
        <f t="shared" ref="W3:W66" si="2">AVERAGE(N3,P3,R3)</f>
        <v>0</v>
      </c>
    </row>
    <row r="4" spans="1:23">
      <c r="A4">
        <v>0.40570000000000001</v>
      </c>
      <c r="B4">
        <v>0</v>
      </c>
      <c r="C4">
        <v>0.40570000000000001</v>
      </c>
      <c r="D4">
        <v>0</v>
      </c>
      <c r="E4">
        <v>0.40570000000000001</v>
      </c>
      <c r="F4">
        <v>0</v>
      </c>
      <c r="G4">
        <v>0.40570000000000001</v>
      </c>
      <c r="H4">
        <v>0</v>
      </c>
      <c r="I4">
        <v>0.40570000000000001</v>
      </c>
      <c r="J4">
        <v>0</v>
      </c>
      <c r="K4">
        <v>0.40570000000000001</v>
      </c>
      <c r="L4">
        <v>0</v>
      </c>
      <c r="M4">
        <v>0.40570000000000001</v>
      </c>
      <c r="N4">
        <v>0</v>
      </c>
      <c r="O4">
        <v>0.40570000000000001</v>
      </c>
      <c r="P4">
        <v>0</v>
      </c>
      <c r="Q4">
        <v>0.40570000000000001</v>
      </c>
      <c r="R4">
        <v>0</v>
      </c>
      <c r="T4">
        <v>0.40570000000000001</v>
      </c>
      <c r="U4">
        <f t="shared" si="0"/>
        <v>0</v>
      </c>
      <c r="V4">
        <f t="shared" si="1"/>
        <v>0</v>
      </c>
      <c r="W4">
        <f t="shared" si="2"/>
        <v>0</v>
      </c>
    </row>
    <row r="5" spans="1:23">
      <c r="A5">
        <v>0.4718</v>
      </c>
      <c r="B5">
        <v>0</v>
      </c>
      <c r="C5">
        <v>0.4718</v>
      </c>
      <c r="D5">
        <v>0</v>
      </c>
      <c r="E5">
        <v>0.4718</v>
      </c>
      <c r="F5">
        <v>0</v>
      </c>
      <c r="G5">
        <v>0.4718</v>
      </c>
      <c r="H5">
        <v>0</v>
      </c>
      <c r="I5">
        <v>0.4718</v>
      </c>
      <c r="J5">
        <v>0</v>
      </c>
      <c r="K5">
        <v>0.4718</v>
      </c>
      <c r="L5">
        <v>0</v>
      </c>
      <c r="M5">
        <v>0.4718</v>
      </c>
      <c r="N5">
        <v>0</v>
      </c>
      <c r="O5">
        <v>0.4718</v>
      </c>
      <c r="P5">
        <v>0</v>
      </c>
      <c r="Q5">
        <v>0.4718</v>
      </c>
      <c r="R5">
        <v>0</v>
      </c>
      <c r="T5">
        <v>0.4718</v>
      </c>
      <c r="U5">
        <f t="shared" si="0"/>
        <v>0</v>
      </c>
      <c r="V5">
        <f t="shared" si="1"/>
        <v>0</v>
      </c>
      <c r="W5">
        <f t="shared" si="2"/>
        <v>0</v>
      </c>
    </row>
    <row r="6" spans="1:23">
      <c r="A6">
        <v>0.54869999999999997</v>
      </c>
      <c r="B6">
        <v>0</v>
      </c>
      <c r="C6">
        <v>0.54869999999999997</v>
      </c>
      <c r="D6">
        <v>0</v>
      </c>
      <c r="E6">
        <v>0.54869999999999997</v>
      </c>
      <c r="F6">
        <v>0</v>
      </c>
      <c r="G6">
        <v>0.54869999999999997</v>
      </c>
      <c r="H6">
        <v>0</v>
      </c>
      <c r="I6">
        <v>0.54869999999999997</v>
      </c>
      <c r="J6">
        <v>0</v>
      </c>
      <c r="K6">
        <v>0.54869999999999997</v>
      </c>
      <c r="L6">
        <v>0</v>
      </c>
      <c r="M6">
        <v>0.54869999999999997</v>
      </c>
      <c r="N6">
        <v>0</v>
      </c>
      <c r="O6">
        <v>0.54869999999999997</v>
      </c>
      <c r="P6">
        <v>0</v>
      </c>
      <c r="Q6">
        <v>0.54869999999999997</v>
      </c>
      <c r="R6">
        <v>0</v>
      </c>
      <c r="T6">
        <v>0.54869999999999997</v>
      </c>
      <c r="U6">
        <f t="shared" si="0"/>
        <v>0</v>
      </c>
      <c r="V6">
        <f t="shared" si="1"/>
        <v>0</v>
      </c>
      <c r="W6">
        <f t="shared" si="2"/>
        <v>0</v>
      </c>
    </row>
    <row r="7" spans="1:23">
      <c r="A7">
        <v>0.6381</v>
      </c>
      <c r="B7">
        <v>0</v>
      </c>
      <c r="C7">
        <v>0.6381</v>
      </c>
      <c r="D7">
        <v>0</v>
      </c>
      <c r="E7">
        <v>0.6381</v>
      </c>
      <c r="F7">
        <v>0</v>
      </c>
      <c r="G7">
        <v>0.6381</v>
      </c>
      <c r="H7">
        <v>0</v>
      </c>
      <c r="I7">
        <v>0.6381</v>
      </c>
      <c r="J7">
        <v>0</v>
      </c>
      <c r="K7">
        <v>0.6381</v>
      </c>
      <c r="L7">
        <v>0</v>
      </c>
      <c r="M7">
        <v>0.6381</v>
      </c>
      <c r="N7">
        <v>0</v>
      </c>
      <c r="O7">
        <v>0.6381</v>
      </c>
      <c r="P7">
        <v>0</v>
      </c>
      <c r="Q7">
        <v>0.6381</v>
      </c>
      <c r="R7">
        <v>0</v>
      </c>
      <c r="T7">
        <v>0.6381</v>
      </c>
      <c r="U7">
        <f t="shared" si="0"/>
        <v>0</v>
      </c>
      <c r="V7">
        <f t="shared" si="1"/>
        <v>0</v>
      </c>
      <c r="W7">
        <f t="shared" si="2"/>
        <v>0</v>
      </c>
    </row>
    <row r="8" spans="1:23">
      <c r="A8">
        <v>0.74199999999999999</v>
      </c>
      <c r="B8">
        <v>0</v>
      </c>
      <c r="C8">
        <v>0.74199999999999999</v>
      </c>
      <c r="D8">
        <v>0</v>
      </c>
      <c r="E8">
        <v>0.74199999999999999</v>
      </c>
      <c r="F8">
        <v>0</v>
      </c>
      <c r="G8">
        <v>0.74199999999999999</v>
      </c>
      <c r="H8">
        <v>0</v>
      </c>
      <c r="I8">
        <v>0.74199999999999999</v>
      </c>
      <c r="J8">
        <v>0</v>
      </c>
      <c r="K8">
        <v>0.74199999999999999</v>
      </c>
      <c r="L8">
        <v>0</v>
      </c>
      <c r="M8">
        <v>0.74199999999999999</v>
      </c>
      <c r="N8">
        <v>0</v>
      </c>
      <c r="O8">
        <v>0.74199999999999999</v>
      </c>
      <c r="P8">
        <v>0</v>
      </c>
      <c r="Q8">
        <v>0.74199999999999999</v>
      </c>
      <c r="R8">
        <v>0</v>
      </c>
      <c r="T8">
        <v>0.74199999999999999</v>
      </c>
      <c r="U8">
        <f t="shared" si="0"/>
        <v>0</v>
      </c>
      <c r="V8">
        <f t="shared" si="1"/>
        <v>0</v>
      </c>
      <c r="W8">
        <f t="shared" si="2"/>
        <v>0</v>
      </c>
    </row>
    <row r="9" spans="1:23">
      <c r="A9">
        <v>0.8629</v>
      </c>
      <c r="B9">
        <v>0</v>
      </c>
      <c r="C9">
        <v>0.8629</v>
      </c>
      <c r="D9">
        <v>0</v>
      </c>
      <c r="E9">
        <v>0.8629</v>
      </c>
      <c r="F9">
        <v>0</v>
      </c>
      <c r="G9">
        <v>0.8629</v>
      </c>
      <c r="H9">
        <v>0</v>
      </c>
      <c r="I9">
        <v>0.8629</v>
      </c>
      <c r="J9">
        <v>0</v>
      </c>
      <c r="K9">
        <v>0.8629</v>
      </c>
      <c r="L9">
        <v>0</v>
      </c>
      <c r="M9">
        <v>0.8629</v>
      </c>
      <c r="N9">
        <v>0</v>
      </c>
      <c r="O9">
        <v>0.8629</v>
      </c>
      <c r="P9">
        <v>0</v>
      </c>
      <c r="Q9">
        <v>0.8629</v>
      </c>
      <c r="R9">
        <v>0</v>
      </c>
      <c r="T9">
        <v>0.8629</v>
      </c>
      <c r="U9">
        <f t="shared" si="0"/>
        <v>0</v>
      </c>
      <c r="V9">
        <f t="shared" si="1"/>
        <v>0</v>
      </c>
      <c r="W9">
        <f t="shared" si="2"/>
        <v>0</v>
      </c>
    </row>
    <row r="10" spans="1:23">
      <c r="A10">
        <v>1.0029999999999999</v>
      </c>
      <c r="B10">
        <v>0</v>
      </c>
      <c r="C10">
        <v>1.0029999999999999</v>
      </c>
      <c r="D10">
        <v>0</v>
      </c>
      <c r="E10">
        <v>1.0029999999999999</v>
      </c>
      <c r="F10">
        <v>0</v>
      </c>
      <c r="G10">
        <v>1.0029999999999999</v>
      </c>
      <c r="H10">
        <v>0</v>
      </c>
      <c r="I10">
        <v>1.0029999999999999</v>
      </c>
      <c r="J10">
        <v>0</v>
      </c>
      <c r="K10">
        <v>1.0029999999999999</v>
      </c>
      <c r="L10">
        <v>0</v>
      </c>
      <c r="M10">
        <v>1.0029999999999999</v>
      </c>
      <c r="N10">
        <v>0</v>
      </c>
      <c r="O10">
        <v>1.0029999999999999</v>
      </c>
      <c r="P10">
        <v>0</v>
      </c>
      <c r="Q10">
        <v>1.0029999999999999</v>
      </c>
      <c r="R10">
        <v>0</v>
      </c>
      <c r="T10">
        <v>1.0029999999999999</v>
      </c>
      <c r="U10">
        <f t="shared" si="0"/>
        <v>0</v>
      </c>
      <c r="V10">
        <f t="shared" si="1"/>
        <v>0</v>
      </c>
      <c r="W10">
        <f t="shared" si="2"/>
        <v>0</v>
      </c>
    </row>
    <row r="11" spans="1:23">
      <c r="A11">
        <v>1.167</v>
      </c>
      <c r="B11">
        <v>0</v>
      </c>
      <c r="C11">
        <v>1.167</v>
      </c>
      <c r="D11">
        <v>0</v>
      </c>
      <c r="E11">
        <v>1.167</v>
      </c>
      <c r="F11">
        <v>0</v>
      </c>
      <c r="G11">
        <v>1.167</v>
      </c>
      <c r="H11">
        <v>0</v>
      </c>
      <c r="I11">
        <v>1.167</v>
      </c>
      <c r="J11">
        <v>0</v>
      </c>
      <c r="K11">
        <v>1.167</v>
      </c>
      <c r="L11">
        <v>0</v>
      </c>
      <c r="M11">
        <v>1.167</v>
      </c>
      <c r="N11">
        <v>0</v>
      </c>
      <c r="O11">
        <v>1.167</v>
      </c>
      <c r="P11">
        <v>0</v>
      </c>
      <c r="Q11">
        <v>1.167</v>
      </c>
      <c r="R11">
        <v>0</v>
      </c>
      <c r="T11">
        <v>1.167</v>
      </c>
      <c r="U11">
        <f t="shared" si="0"/>
        <v>0</v>
      </c>
      <c r="V11">
        <f t="shared" si="1"/>
        <v>0</v>
      </c>
      <c r="W11">
        <f t="shared" si="2"/>
        <v>0</v>
      </c>
    </row>
    <row r="12" spans="1:23">
      <c r="A12">
        <v>1.357</v>
      </c>
      <c r="B12">
        <v>0</v>
      </c>
      <c r="C12">
        <v>1.357</v>
      </c>
      <c r="D12">
        <v>0</v>
      </c>
      <c r="E12">
        <v>1.357</v>
      </c>
      <c r="F12">
        <v>0</v>
      </c>
      <c r="G12">
        <v>1.357</v>
      </c>
      <c r="H12">
        <v>0</v>
      </c>
      <c r="I12">
        <v>1.357</v>
      </c>
      <c r="J12">
        <v>0</v>
      </c>
      <c r="K12">
        <v>1.357</v>
      </c>
      <c r="L12">
        <v>0</v>
      </c>
      <c r="M12">
        <v>1.357</v>
      </c>
      <c r="N12">
        <v>0</v>
      </c>
      <c r="O12">
        <v>1.357</v>
      </c>
      <c r="P12">
        <v>0</v>
      </c>
      <c r="Q12">
        <v>1.357</v>
      </c>
      <c r="R12">
        <v>0</v>
      </c>
      <c r="T12">
        <v>1.357</v>
      </c>
      <c r="U12">
        <f t="shared" si="0"/>
        <v>0</v>
      </c>
      <c r="V12">
        <f t="shared" si="1"/>
        <v>0</v>
      </c>
      <c r="W12">
        <f t="shared" si="2"/>
        <v>0</v>
      </c>
    </row>
    <row r="13" spans="1:23">
      <c r="A13">
        <v>1.5780000000000001</v>
      </c>
      <c r="B13">
        <v>0</v>
      </c>
      <c r="C13">
        <v>1.5780000000000001</v>
      </c>
      <c r="D13">
        <v>0</v>
      </c>
      <c r="E13">
        <v>1.5780000000000001</v>
      </c>
      <c r="F13">
        <v>0</v>
      </c>
      <c r="G13">
        <v>1.5780000000000001</v>
      </c>
      <c r="H13">
        <v>0</v>
      </c>
      <c r="I13">
        <v>1.5780000000000001</v>
      </c>
      <c r="J13">
        <v>0</v>
      </c>
      <c r="K13">
        <v>1.5780000000000001</v>
      </c>
      <c r="L13">
        <v>0</v>
      </c>
      <c r="M13">
        <v>1.5780000000000001</v>
      </c>
      <c r="N13">
        <v>0</v>
      </c>
      <c r="O13">
        <v>1.5780000000000001</v>
      </c>
      <c r="P13">
        <v>0</v>
      </c>
      <c r="Q13">
        <v>1.5780000000000001</v>
      </c>
      <c r="R13">
        <v>0</v>
      </c>
      <c r="T13">
        <v>1.5780000000000001</v>
      </c>
      <c r="U13">
        <f t="shared" si="0"/>
        <v>0</v>
      </c>
      <c r="V13">
        <f t="shared" si="1"/>
        <v>0</v>
      </c>
      <c r="W13">
        <f t="shared" si="2"/>
        <v>0</v>
      </c>
    </row>
    <row r="14" spans="1:23">
      <c r="A14">
        <v>1.835</v>
      </c>
      <c r="B14">
        <v>0</v>
      </c>
      <c r="C14">
        <v>1.835</v>
      </c>
      <c r="D14">
        <v>0</v>
      </c>
      <c r="E14">
        <v>1.835</v>
      </c>
      <c r="F14">
        <v>0</v>
      </c>
      <c r="G14">
        <v>1.835</v>
      </c>
      <c r="H14">
        <v>0</v>
      </c>
      <c r="I14">
        <v>1.835</v>
      </c>
      <c r="J14">
        <v>0</v>
      </c>
      <c r="K14">
        <v>1.835</v>
      </c>
      <c r="L14">
        <v>0</v>
      </c>
      <c r="M14">
        <v>1.835</v>
      </c>
      <c r="N14">
        <v>0</v>
      </c>
      <c r="O14">
        <v>1.835</v>
      </c>
      <c r="P14">
        <v>0</v>
      </c>
      <c r="Q14">
        <v>1.835</v>
      </c>
      <c r="R14">
        <v>0</v>
      </c>
      <c r="T14">
        <v>1.835</v>
      </c>
      <c r="U14">
        <f t="shared" si="0"/>
        <v>0</v>
      </c>
      <c r="V14">
        <f t="shared" si="1"/>
        <v>0</v>
      </c>
      <c r="W14">
        <f t="shared" si="2"/>
        <v>0</v>
      </c>
    </row>
    <row r="15" spans="1:23">
      <c r="A15">
        <v>2.1339999999999999</v>
      </c>
      <c r="B15">
        <v>0</v>
      </c>
      <c r="C15">
        <v>2.1339999999999999</v>
      </c>
      <c r="D15">
        <v>0</v>
      </c>
      <c r="E15">
        <v>2.1339999999999999</v>
      </c>
      <c r="F15">
        <v>0</v>
      </c>
      <c r="G15">
        <v>2.1339999999999999</v>
      </c>
      <c r="H15">
        <v>0</v>
      </c>
      <c r="I15">
        <v>2.1339999999999999</v>
      </c>
      <c r="J15">
        <v>0</v>
      </c>
      <c r="K15">
        <v>2.1339999999999999</v>
      </c>
      <c r="L15">
        <v>0</v>
      </c>
      <c r="M15">
        <v>2.1339999999999999</v>
      </c>
      <c r="N15">
        <v>0</v>
      </c>
      <c r="O15">
        <v>2.1339999999999999</v>
      </c>
      <c r="P15">
        <v>0</v>
      </c>
      <c r="Q15">
        <v>2.1339999999999999</v>
      </c>
      <c r="R15">
        <v>0</v>
      </c>
      <c r="T15">
        <v>2.1339999999999999</v>
      </c>
      <c r="U15">
        <f t="shared" si="0"/>
        <v>0</v>
      </c>
      <c r="V15">
        <f t="shared" si="1"/>
        <v>0</v>
      </c>
      <c r="W15">
        <f t="shared" si="2"/>
        <v>0</v>
      </c>
    </row>
    <row r="16" spans="1:23">
      <c r="A16">
        <v>2.4820000000000002</v>
      </c>
      <c r="B16">
        <v>0</v>
      </c>
      <c r="C16">
        <v>2.4820000000000002</v>
      </c>
      <c r="D16">
        <v>0</v>
      </c>
      <c r="E16">
        <v>2.4820000000000002</v>
      </c>
      <c r="F16">
        <v>0</v>
      </c>
      <c r="G16">
        <v>2.4820000000000002</v>
      </c>
      <c r="H16">
        <v>0</v>
      </c>
      <c r="I16">
        <v>2.4820000000000002</v>
      </c>
      <c r="J16">
        <v>0</v>
      </c>
      <c r="K16">
        <v>2.4820000000000002</v>
      </c>
      <c r="L16">
        <v>0</v>
      </c>
      <c r="M16">
        <v>2.4820000000000002</v>
      </c>
      <c r="N16">
        <v>0</v>
      </c>
      <c r="O16">
        <v>2.4820000000000002</v>
      </c>
      <c r="P16">
        <v>0</v>
      </c>
      <c r="Q16">
        <v>2.4820000000000002</v>
      </c>
      <c r="R16">
        <v>0</v>
      </c>
      <c r="T16">
        <v>2.4820000000000002</v>
      </c>
      <c r="U16">
        <f t="shared" si="0"/>
        <v>0</v>
      </c>
      <c r="V16">
        <f t="shared" si="1"/>
        <v>0</v>
      </c>
      <c r="W16">
        <f t="shared" si="2"/>
        <v>0</v>
      </c>
    </row>
    <row r="17" spans="1:23">
      <c r="A17">
        <v>2.8860000000000001</v>
      </c>
      <c r="B17">
        <v>0</v>
      </c>
      <c r="C17">
        <v>2.8860000000000001</v>
      </c>
      <c r="D17">
        <v>0</v>
      </c>
      <c r="E17">
        <v>2.8860000000000001</v>
      </c>
      <c r="F17">
        <v>0</v>
      </c>
      <c r="G17">
        <v>2.8860000000000001</v>
      </c>
      <c r="H17">
        <v>0</v>
      </c>
      <c r="I17">
        <v>2.8860000000000001</v>
      </c>
      <c r="J17">
        <v>0</v>
      </c>
      <c r="K17">
        <v>2.8860000000000001</v>
      </c>
      <c r="L17">
        <v>0</v>
      </c>
      <c r="M17">
        <v>2.8860000000000001</v>
      </c>
      <c r="N17">
        <v>0</v>
      </c>
      <c r="O17">
        <v>2.8860000000000001</v>
      </c>
      <c r="P17">
        <v>0</v>
      </c>
      <c r="Q17">
        <v>2.8860000000000001</v>
      </c>
      <c r="R17">
        <v>0</v>
      </c>
      <c r="T17">
        <v>2.8860000000000001</v>
      </c>
      <c r="U17">
        <f t="shared" si="0"/>
        <v>0</v>
      </c>
      <c r="V17">
        <f t="shared" si="1"/>
        <v>0</v>
      </c>
      <c r="W17">
        <f t="shared" si="2"/>
        <v>0</v>
      </c>
    </row>
    <row r="18" spans="1:23">
      <c r="A18">
        <v>3.3570000000000002</v>
      </c>
      <c r="B18">
        <v>0</v>
      </c>
      <c r="C18">
        <v>3.3570000000000002</v>
      </c>
      <c r="D18">
        <v>0</v>
      </c>
      <c r="E18">
        <v>3.3570000000000002</v>
      </c>
      <c r="F18">
        <v>0</v>
      </c>
      <c r="G18">
        <v>3.3570000000000002</v>
      </c>
      <c r="H18">
        <v>0</v>
      </c>
      <c r="I18">
        <v>3.3570000000000002</v>
      </c>
      <c r="J18">
        <v>0</v>
      </c>
      <c r="K18">
        <v>3.3570000000000002</v>
      </c>
      <c r="L18">
        <v>0</v>
      </c>
      <c r="M18">
        <v>3.3570000000000002</v>
      </c>
      <c r="N18">
        <v>0</v>
      </c>
      <c r="O18">
        <v>3.3570000000000002</v>
      </c>
      <c r="P18">
        <v>0</v>
      </c>
      <c r="Q18">
        <v>3.3570000000000002</v>
      </c>
      <c r="R18">
        <v>0</v>
      </c>
      <c r="T18">
        <v>3.3570000000000002</v>
      </c>
      <c r="U18">
        <f t="shared" si="0"/>
        <v>0</v>
      </c>
      <c r="V18">
        <f t="shared" si="1"/>
        <v>0</v>
      </c>
      <c r="W18">
        <f t="shared" si="2"/>
        <v>0</v>
      </c>
    </row>
    <row r="19" spans="1:23">
      <c r="A19">
        <v>3.903</v>
      </c>
      <c r="B19">
        <v>0</v>
      </c>
      <c r="C19">
        <v>3.903</v>
      </c>
      <c r="D19">
        <v>0</v>
      </c>
      <c r="E19">
        <v>3.903</v>
      </c>
      <c r="F19">
        <v>0</v>
      </c>
      <c r="G19">
        <v>3.903</v>
      </c>
      <c r="H19">
        <v>0</v>
      </c>
      <c r="I19">
        <v>3.903</v>
      </c>
      <c r="J19">
        <v>0</v>
      </c>
      <c r="K19">
        <v>3.903</v>
      </c>
      <c r="L19">
        <v>0</v>
      </c>
      <c r="M19">
        <v>3.903</v>
      </c>
      <c r="N19">
        <v>0</v>
      </c>
      <c r="O19">
        <v>3.903</v>
      </c>
      <c r="P19">
        <v>0</v>
      </c>
      <c r="Q19">
        <v>3.903</v>
      </c>
      <c r="R19">
        <v>0</v>
      </c>
      <c r="T19">
        <v>3.903</v>
      </c>
      <c r="U19">
        <f t="shared" si="0"/>
        <v>0</v>
      </c>
      <c r="V19">
        <f t="shared" si="1"/>
        <v>0</v>
      </c>
      <c r="W19">
        <f t="shared" si="2"/>
        <v>0</v>
      </c>
    </row>
    <row r="20" spans="1:23">
      <c r="A20">
        <v>4.5389999999999997</v>
      </c>
      <c r="B20">
        <v>0</v>
      </c>
      <c r="C20">
        <v>4.5389999999999997</v>
      </c>
      <c r="D20">
        <v>0</v>
      </c>
      <c r="E20">
        <v>4.5389999999999997</v>
      </c>
      <c r="F20">
        <v>0</v>
      </c>
      <c r="G20">
        <v>4.5389999999999997</v>
      </c>
      <c r="H20">
        <v>0</v>
      </c>
      <c r="I20">
        <v>4.5389999999999997</v>
      </c>
      <c r="J20">
        <v>0</v>
      </c>
      <c r="K20">
        <v>4.5389999999999997</v>
      </c>
      <c r="L20">
        <v>0</v>
      </c>
      <c r="M20">
        <v>4.5389999999999997</v>
      </c>
      <c r="N20">
        <v>0</v>
      </c>
      <c r="O20">
        <v>4.5389999999999997</v>
      </c>
      <c r="P20">
        <v>0</v>
      </c>
      <c r="Q20">
        <v>4.5389999999999997</v>
      </c>
      <c r="R20">
        <v>0</v>
      </c>
      <c r="T20">
        <v>4.5389999999999997</v>
      </c>
      <c r="U20">
        <f t="shared" si="0"/>
        <v>0</v>
      </c>
      <c r="V20">
        <f t="shared" si="1"/>
        <v>0</v>
      </c>
      <c r="W20">
        <f t="shared" si="2"/>
        <v>0</v>
      </c>
    </row>
    <row r="21" spans="1:23">
      <c r="A21">
        <v>5.2789999999999999</v>
      </c>
      <c r="B21">
        <v>0</v>
      </c>
      <c r="C21">
        <v>5.2789999999999999</v>
      </c>
      <c r="D21">
        <v>0</v>
      </c>
      <c r="E21">
        <v>5.2789999999999999</v>
      </c>
      <c r="F21">
        <v>0</v>
      </c>
      <c r="G21">
        <v>5.2789999999999999</v>
      </c>
      <c r="H21">
        <v>0</v>
      </c>
      <c r="I21">
        <v>5.2789999999999999</v>
      </c>
      <c r="J21">
        <v>0</v>
      </c>
      <c r="K21">
        <v>5.2789999999999999</v>
      </c>
      <c r="L21">
        <v>0</v>
      </c>
      <c r="M21">
        <v>5.2789999999999999</v>
      </c>
      <c r="N21">
        <v>0</v>
      </c>
      <c r="O21">
        <v>5.2789999999999999</v>
      </c>
      <c r="P21">
        <v>0</v>
      </c>
      <c r="Q21">
        <v>5.2789999999999999</v>
      </c>
      <c r="R21">
        <v>0</v>
      </c>
      <c r="T21">
        <v>5.2789999999999999</v>
      </c>
      <c r="U21">
        <f t="shared" si="0"/>
        <v>0</v>
      </c>
      <c r="V21">
        <f t="shared" si="1"/>
        <v>0</v>
      </c>
      <c r="W21">
        <f t="shared" si="2"/>
        <v>0</v>
      </c>
    </row>
    <row r="22" spans="1:23">
      <c r="A22">
        <v>6.1390000000000002</v>
      </c>
      <c r="B22">
        <v>0</v>
      </c>
      <c r="C22">
        <v>6.1390000000000002</v>
      </c>
      <c r="D22">
        <v>0</v>
      </c>
      <c r="E22">
        <v>6.1390000000000002</v>
      </c>
      <c r="F22">
        <v>0</v>
      </c>
      <c r="G22">
        <v>6.1390000000000002</v>
      </c>
      <c r="H22">
        <v>0</v>
      </c>
      <c r="I22">
        <v>6.1390000000000002</v>
      </c>
      <c r="J22">
        <v>0</v>
      </c>
      <c r="K22">
        <v>6.1390000000000002</v>
      </c>
      <c r="L22">
        <v>0</v>
      </c>
      <c r="M22">
        <v>6.1390000000000002</v>
      </c>
      <c r="N22">
        <v>0</v>
      </c>
      <c r="O22">
        <v>6.1390000000000002</v>
      </c>
      <c r="P22">
        <v>0</v>
      </c>
      <c r="Q22">
        <v>6.1390000000000002</v>
      </c>
      <c r="R22">
        <v>0</v>
      </c>
      <c r="T22">
        <v>6.1390000000000002</v>
      </c>
      <c r="U22">
        <f t="shared" si="0"/>
        <v>0</v>
      </c>
      <c r="V22">
        <f t="shared" si="1"/>
        <v>0</v>
      </c>
      <c r="W22">
        <f t="shared" si="2"/>
        <v>0</v>
      </c>
    </row>
    <row r="23" spans="1:23">
      <c r="A23">
        <v>7.1390000000000002</v>
      </c>
      <c r="B23">
        <v>0</v>
      </c>
      <c r="C23">
        <v>7.1390000000000002</v>
      </c>
      <c r="D23">
        <v>0</v>
      </c>
      <c r="E23">
        <v>7.1390000000000002</v>
      </c>
      <c r="F23">
        <v>0</v>
      </c>
      <c r="G23">
        <v>7.1390000000000002</v>
      </c>
      <c r="H23">
        <v>0</v>
      </c>
      <c r="I23">
        <v>7.1390000000000002</v>
      </c>
      <c r="J23">
        <v>0</v>
      </c>
      <c r="K23">
        <v>7.1390000000000002</v>
      </c>
      <c r="L23">
        <v>0</v>
      </c>
      <c r="M23">
        <v>7.1390000000000002</v>
      </c>
      <c r="N23">
        <v>0</v>
      </c>
      <c r="O23">
        <v>7.1390000000000002</v>
      </c>
      <c r="P23">
        <v>0</v>
      </c>
      <c r="Q23">
        <v>7.1390000000000002</v>
      </c>
      <c r="R23">
        <v>0</v>
      </c>
      <c r="T23">
        <v>7.1390000000000002</v>
      </c>
      <c r="U23">
        <f t="shared" si="0"/>
        <v>0</v>
      </c>
      <c r="V23">
        <f t="shared" si="1"/>
        <v>0</v>
      </c>
      <c r="W23">
        <f t="shared" si="2"/>
        <v>0</v>
      </c>
    </row>
    <row r="24" spans="1:23">
      <c r="A24">
        <v>8.3019999999999996</v>
      </c>
      <c r="B24">
        <v>0</v>
      </c>
      <c r="C24">
        <v>8.3019999999999996</v>
      </c>
      <c r="D24">
        <v>0</v>
      </c>
      <c r="E24">
        <v>8.3019999999999996</v>
      </c>
      <c r="F24">
        <v>0</v>
      </c>
      <c r="G24">
        <v>8.3019999999999996</v>
      </c>
      <c r="H24">
        <v>0</v>
      </c>
      <c r="I24">
        <v>8.3019999999999996</v>
      </c>
      <c r="J24">
        <v>0</v>
      </c>
      <c r="K24">
        <v>8.3019999999999996</v>
      </c>
      <c r="L24">
        <v>0</v>
      </c>
      <c r="M24">
        <v>8.3019999999999996</v>
      </c>
      <c r="N24">
        <v>0</v>
      </c>
      <c r="O24">
        <v>8.3019999999999996</v>
      </c>
      <c r="P24">
        <v>0</v>
      </c>
      <c r="Q24">
        <v>8.3019999999999996</v>
      </c>
      <c r="R24">
        <v>0</v>
      </c>
      <c r="T24">
        <v>8.3019999999999996</v>
      </c>
      <c r="U24">
        <f t="shared" si="0"/>
        <v>0</v>
      </c>
      <c r="V24">
        <f t="shared" si="1"/>
        <v>0</v>
      </c>
      <c r="W24">
        <f t="shared" si="2"/>
        <v>0</v>
      </c>
    </row>
    <row r="25" spans="1:23">
      <c r="A25">
        <v>9.6549999999999994</v>
      </c>
      <c r="B25">
        <v>0</v>
      </c>
      <c r="C25">
        <v>9.6549999999999994</v>
      </c>
      <c r="D25">
        <v>0</v>
      </c>
      <c r="E25">
        <v>9.6549999999999994</v>
      </c>
      <c r="F25">
        <v>0</v>
      </c>
      <c r="G25">
        <v>9.6549999999999994</v>
      </c>
      <c r="H25">
        <v>0</v>
      </c>
      <c r="I25">
        <v>9.6549999999999994</v>
      </c>
      <c r="J25">
        <v>0</v>
      </c>
      <c r="K25">
        <v>9.6549999999999994</v>
      </c>
      <c r="L25">
        <v>0</v>
      </c>
      <c r="M25">
        <v>9.6549999999999994</v>
      </c>
      <c r="N25">
        <v>0</v>
      </c>
      <c r="O25">
        <v>9.6549999999999994</v>
      </c>
      <c r="P25">
        <v>0</v>
      </c>
      <c r="Q25">
        <v>9.6549999999999994</v>
      </c>
      <c r="R25">
        <v>0</v>
      </c>
      <c r="T25">
        <v>9.6549999999999994</v>
      </c>
      <c r="U25">
        <f t="shared" si="0"/>
        <v>0</v>
      </c>
      <c r="V25">
        <f t="shared" si="1"/>
        <v>0</v>
      </c>
      <c r="W25">
        <f t="shared" si="2"/>
        <v>0</v>
      </c>
    </row>
    <row r="26" spans="1:23">
      <c r="A26">
        <v>11.23</v>
      </c>
      <c r="B26">
        <v>0</v>
      </c>
      <c r="C26">
        <v>11.23</v>
      </c>
      <c r="D26">
        <v>0</v>
      </c>
      <c r="E26">
        <v>11.23</v>
      </c>
      <c r="F26">
        <v>0</v>
      </c>
      <c r="G26">
        <v>11.23</v>
      </c>
      <c r="H26">
        <v>0</v>
      </c>
      <c r="I26">
        <v>11.23</v>
      </c>
      <c r="J26">
        <v>0</v>
      </c>
      <c r="K26">
        <v>11.23</v>
      </c>
      <c r="L26">
        <v>0</v>
      </c>
      <c r="M26">
        <v>11.23</v>
      </c>
      <c r="N26">
        <v>0</v>
      </c>
      <c r="O26">
        <v>11.23</v>
      </c>
      <c r="P26">
        <v>0</v>
      </c>
      <c r="Q26">
        <v>11.23</v>
      </c>
      <c r="R26">
        <v>0</v>
      </c>
      <c r="T26">
        <v>11.23</v>
      </c>
      <c r="U26">
        <f t="shared" si="0"/>
        <v>0</v>
      </c>
      <c r="V26">
        <f t="shared" si="1"/>
        <v>0</v>
      </c>
      <c r="W26">
        <f t="shared" si="2"/>
        <v>0</v>
      </c>
    </row>
    <row r="27" spans="1:23">
      <c r="A27">
        <v>13.06</v>
      </c>
      <c r="B27">
        <v>0</v>
      </c>
      <c r="C27">
        <v>13.06</v>
      </c>
      <c r="D27">
        <v>0</v>
      </c>
      <c r="E27">
        <v>13.06</v>
      </c>
      <c r="F27">
        <v>0</v>
      </c>
      <c r="G27">
        <v>13.06</v>
      </c>
      <c r="H27">
        <v>0</v>
      </c>
      <c r="I27">
        <v>13.06</v>
      </c>
      <c r="J27">
        <v>0</v>
      </c>
      <c r="K27">
        <v>13.06</v>
      </c>
      <c r="L27">
        <v>0</v>
      </c>
      <c r="M27">
        <v>13.06</v>
      </c>
      <c r="N27">
        <v>0</v>
      </c>
      <c r="O27">
        <v>13.06</v>
      </c>
      <c r="P27">
        <v>0</v>
      </c>
      <c r="Q27">
        <v>13.06</v>
      </c>
      <c r="R27">
        <v>0</v>
      </c>
      <c r="T27">
        <v>13.06</v>
      </c>
      <c r="U27">
        <f t="shared" si="0"/>
        <v>0</v>
      </c>
      <c r="V27">
        <f t="shared" si="1"/>
        <v>0</v>
      </c>
      <c r="W27">
        <f t="shared" si="2"/>
        <v>0</v>
      </c>
    </row>
    <row r="28" spans="1:23">
      <c r="A28">
        <v>15.18</v>
      </c>
      <c r="B28">
        <v>0</v>
      </c>
      <c r="C28">
        <v>15.18</v>
      </c>
      <c r="D28">
        <v>0</v>
      </c>
      <c r="E28">
        <v>15.18</v>
      </c>
      <c r="F28">
        <v>0</v>
      </c>
      <c r="G28">
        <v>15.18</v>
      </c>
      <c r="H28">
        <v>0</v>
      </c>
      <c r="I28">
        <v>15.18</v>
      </c>
      <c r="J28">
        <v>0</v>
      </c>
      <c r="K28">
        <v>15.18</v>
      </c>
      <c r="L28">
        <v>0</v>
      </c>
      <c r="M28">
        <v>15.18</v>
      </c>
      <c r="N28">
        <v>0</v>
      </c>
      <c r="O28">
        <v>15.18</v>
      </c>
      <c r="P28">
        <v>0</v>
      </c>
      <c r="Q28">
        <v>15.18</v>
      </c>
      <c r="R28">
        <v>0</v>
      </c>
      <c r="T28">
        <v>15.18</v>
      </c>
      <c r="U28">
        <f t="shared" si="0"/>
        <v>0</v>
      </c>
      <c r="V28">
        <f t="shared" si="1"/>
        <v>0</v>
      </c>
      <c r="W28">
        <f t="shared" si="2"/>
        <v>0</v>
      </c>
    </row>
    <row r="29" spans="1:23">
      <c r="A29">
        <v>17.66</v>
      </c>
      <c r="B29">
        <v>0</v>
      </c>
      <c r="C29">
        <v>17.66</v>
      </c>
      <c r="D29">
        <v>0</v>
      </c>
      <c r="E29">
        <v>17.66</v>
      </c>
      <c r="F29">
        <v>0</v>
      </c>
      <c r="G29">
        <v>17.66</v>
      </c>
      <c r="H29">
        <v>0</v>
      </c>
      <c r="I29">
        <v>17.66</v>
      </c>
      <c r="J29">
        <v>0</v>
      </c>
      <c r="K29">
        <v>17.66</v>
      </c>
      <c r="L29">
        <v>0</v>
      </c>
      <c r="M29">
        <v>17.66</v>
      </c>
      <c r="N29">
        <v>0</v>
      </c>
      <c r="O29">
        <v>17.66</v>
      </c>
      <c r="P29">
        <v>0</v>
      </c>
      <c r="Q29">
        <v>17.66</v>
      </c>
      <c r="R29">
        <v>0</v>
      </c>
      <c r="T29">
        <v>17.66</v>
      </c>
      <c r="U29">
        <f t="shared" si="0"/>
        <v>0</v>
      </c>
      <c r="V29">
        <f t="shared" si="1"/>
        <v>0</v>
      </c>
      <c r="W29">
        <f t="shared" si="2"/>
        <v>0</v>
      </c>
    </row>
    <row r="30" spans="1:23">
      <c r="A30">
        <v>20.53</v>
      </c>
      <c r="B30">
        <v>0</v>
      </c>
      <c r="C30">
        <v>20.53</v>
      </c>
      <c r="D30">
        <v>0</v>
      </c>
      <c r="E30">
        <v>20.53</v>
      </c>
      <c r="F30">
        <v>0</v>
      </c>
      <c r="G30">
        <v>20.53</v>
      </c>
      <c r="H30">
        <v>0</v>
      </c>
      <c r="I30">
        <v>20.53</v>
      </c>
      <c r="J30">
        <v>0</v>
      </c>
      <c r="K30">
        <v>20.53</v>
      </c>
      <c r="L30">
        <v>0</v>
      </c>
      <c r="M30">
        <v>20.53</v>
      </c>
      <c r="N30">
        <v>0</v>
      </c>
      <c r="O30">
        <v>20.53</v>
      </c>
      <c r="P30">
        <v>0</v>
      </c>
      <c r="Q30">
        <v>20.53</v>
      </c>
      <c r="R30">
        <v>0</v>
      </c>
      <c r="T30">
        <v>20.53</v>
      </c>
      <c r="U30">
        <f t="shared" si="0"/>
        <v>0</v>
      </c>
      <c r="V30">
        <f t="shared" si="1"/>
        <v>0</v>
      </c>
      <c r="W30">
        <f t="shared" si="2"/>
        <v>0</v>
      </c>
    </row>
    <row r="31" spans="1:23">
      <c r="A31">
        <v>23.88</v>
      </c>
      <c r="B31">
        <v>0</v>
      </c>
      <c r="C31">
        <v>23.88</v>
      </c>
      <c r="D31">
        <v>0</v>
      </c>
      <c r="E31">
        <v>23.88</v>
      </c>
      <c r="F31">
        <v>0</v>
      </c>
      <c r="G31">
        <v>23.88</v>
      </c>
      <c r="H31">
        <v>0</v>
      </c>
      <c r="I31">
        <v>23.88</v>
      </c>
      <c r="J31">
        <v>0</v>
      </c>
      <c r="K31">
        <v>23.88</v>
      </c>
      <c r="L31">
        <v>0</v>
      </c>
      <c r="M31">
        <v>23.88</v>
      </c>
      <c r="N31">
        <v>0</v>
      </c>
      <c r="O31">
        <v>23.88</v>
      </c>
      <c r="P31">
        <v>0</v>
      </c>
      <c r="Q31">
        <v>23.88</v>
      </c>
      <c r="R31">
        <v>0</v>
      </c>
      <c r="T31">
        <v>23.88</v>
      </c>
      <c r="U31">
        <f t="shared" si="0"/>
        <v>0</v>
      </c>
      <c r="V31">
        <f t="shared" si="1"/>
        <v>0</v>
      </c>
      <c r="W31">
        <f t="shared" si="2"/>
        <v>0</v>
      </c>
    </row>
    <row r="32" spans="1:23">
      <c r="A32">
        <v>27.77</v>
      </c>
      <c r="B32">
        <v>0</v>
      </c>
      <c r="C32">
        <v>27.77</v>
      </c>
      <c r="D32">
        <v>0</v>
      </c>
      <c r="E32">
        <v>27.77</v>
      </c>
      <c r="F32">
        <v>0</v>
      </c>
      <c r="G32">
        <v>27.77</v>
      </c>
      <c r="H32">
        <v>0</v>
      </c>
      <c r="I32">
        <v>27.77</v>
      </c>
      <c r="J32">
        <v>0</v>
      </c>
      <c r="K32">
        <v>27.77</v>
      </c>
      <c r="L32">
        <v>0</v>
      </c>
      <c r="M32">
        <v>27.77</v>
      </c>
      <c r="N32">
        <v>0</v>
      </c>
      <c r="O32">
        <v>27.77</v>
      </c>
      <c r="P32">
        <v>0</v>
      </c>
      <c r="Q32">
        <v>27.77</v>
      </c>
      <c r="R32">
        <v>0</v>
      </c>
      <c r="T32">
        <v>27.77</v>
      </c>
      <c r="U32">
        <f t="shared" si="0"/>
        <v>0</v>
      </c>
      <c r="V32">
        <f t="shared" si="1"/>
        <v>0</v>
      </c>
      <c r="W32">
        <f t="shared" si="2"/>
        <v>0</v>
      </c>
    </row>
    <row r="33" spans="1:23">
      <c r="A33">
        <v>32.299999999999997</v>
      </c>
      <c r="B33">
        <v>0</v>
      </c>
      <c r="C33">
        <v>32.299999999999997</v>
      </c>
      <c r="D33">
        <v>0</v>
      </c>
      <c r="E33">
        <v>32.299999999999997</v>
      </c>
      <c r="F33">
        <v>0</v>
      </c>
      <c r="G33">
        <v>32.299999999999997</v>
      </c>
      <c r="H33">
        <v>0</v>
      </c>
      <c r="I33">
        <v>32.299999999999997</v>
      </c>
      <c r="J33">
        <v>0</v>
      </c>
      <c r="K33">
        <v>32.299999999999997</v>
      </c>
      <c r="L33">
        <v>0</v>
      </c>
      <c r="M33">
        <v>32.299999999999997</v>
      </c>
      <c r="N33">
        <v>0</v>
      </c>
      <c r="O33">
        <v>32.299999999999997</v>
      </c>
      <c r="P33">
        <v>0</v>
      </c>
      <c r="Q33">
        <v>32.299999999999997</v>
      </c>
      <c r="R33">
        <v>0</v>
      </c>
      <c r="T33">
        <v>32.299999999999997</v>
      </c>
      <c r="U33">
        <f t="shared" si="0"/>
        <v>0</v>
      </c>
      <c r="V33">
        <f t="shared" si="1"/>
        <v>0</v>
      </c>
      <c r="W33">
        <f t="shared" si="2"/>
        <v>0</v>
      </c>
    </row>
    <row r="34" spans="1:23">
      <c r="A34">
        <v>37.56</v>
      </c>
      <c r="B34">
        <v>0</v>
      </c>
      <c r="C34">
        <v>37.56</v>
      </c>
      <c r="D34">
        <v>0</v>
      </c>
      <c r="E34">
        <v>37.56</v>
      </c>
      <c r="F34">
        <v>0</v>
      </c>
      <c r="G34">
        <v>37.56</v>
      </c>
      <c r="H34">
        <v>0</v>
      </c>
      <c r="I34">
        <v>37.56</v>
      </c>
      <c r="J34">
        <v>0</v>
      </c>
      <c r="K34">
        <v>37.56</v>
      </c>
      <c r="L34">
        <v>0</v>
      </c>
      <c r="M34">
        <v>37.56</v>
      </c>
      <c r="N34">
        <v>0</v>
      </c>
      <c r="O34">
        <v>37.56</v>
      </c>
      <c r="P34">
        <v>0</v>
      </c>
      <c r="Q34">
        <v>37.56</v>
      </c>
      <c r="R34">
        <v>0</v>
      </c>
      <c r="T34">
        <v>37.56</v>
      </c>
      <c r="U34">
        <f t="shared" si="0"/>
        <v>0</v>
      </c>
      <c r="V34">
        <f t="shared" si="1"/>
        <v>0</v>
      </c>
      <c r="W34">
        <f t="shared" si="2"/>
        <v>0</v>
      </c>
    </row>
    <row r="35" spans="1:23">
      <c r="A35">
        <v>43.68</v>
      </c>
      <c r="B35">
        <v>0</v>
      </c>
      <c r="C35">
        <v>43.68</v>
      </c>
      <c r="D35">
        <v>0</v>
      </c>
      <c r="E35">
        <v>43.68</v>
      </c>
      <c r="F35">
        <v>0</v>
      </c>
      <c r="G35">
        <v>43.68</v>
      </c>
      <c r="H35">
        <v>0</v>
      </c>
      <c r="I35">
        <v>43.68</v>
      </c>
      <c r="J35">
        <v>0</v>
      </c>
      <c r="K35">
        <v>43.68</v>
      </c>
      <c r="L35">
        <v>0</v>
      </c>
      <c r="M35">
        <v>43.68</v>
      </c>
      <c r="N35">
        <v>0</v>
      </c>
      <c r="O35">
        <v>43.68</v>
      </c>
      <c r="P35">
        <v>0</v>
      </c>
      <c r="Q35">
        <v>43.68</v>
      </c>
      <c r="R35">
        <v>0</v>
      </c>
      <c r="T35">
        <v>43.68</v>
      </c>
      <c r="U35">
        <f t="shared" si="0"/>
        <v>0</v>
      </c>
      <c r="V35">
        <f t="shared" si="1"/>
        <v>0</v>
      </c>
      <c r="W35">
        <f t="shared" si="2"/>
        <v>0</v>
      </c>
    </row>
    <row r="36" spans="1:23">
      <c r="A36">
        <v>50.79</v>
      </c>
      <c r="B36">
        <v>0</v>
      </c>
      <c r="C36">
        <v>50.79</v>
      </c>
      <c r="D36">
        <v>0</v>
      </c>
      <c r="E36">
        <v>50.79</v>
      </c>
      <c r="F36">
        <v>0</v>
      </c>
      <c r="G36">
        <v>50.79</v>
      </c>
      <c r="H36">
        <v>0</v>
      </c>
      <c r="I36">
        <v>50.79</v>
      </c>
      <c r="J36">
        <v>0</v>
      </c>
      <c r="K36">
        <v>50.79</v>
      </c>
      <c r="L36">
        <v>0</v>
      </c>
      <c r="M36">
        <v>50.79</v>
      </c>
      <c r="N36">
        <v>0</v>
      </c>
      <c r="O36">
        <v>50.79</v>
      </c>
      <c r="P36">
        <v>0</v>
      </c>
      <c r="Q36">
        <v>50.79</v>
      </c>
      <c r="R36">
        <v>0</v>
      </c>
      <c r="T36">
        <v>50.79</v>
      </c>
      <c r="U36">
        <f t="shared" si="0"/>
        <v>0</v>
      </c>
      <c r="V36">
        <f t="shared" si="1"/>
        <v>0</v>
      </c>
      <c r="W36">
        <f t="shared" si="2"/>
        <v>0</v>
      </c>
    </row>
    <row r="37" spans="1:23">
      <c r="A37">
        <v>59.07</v>
      </c>
      <c r="B37">
        <v>0</v>
      </c>
      <c r="C37">
        <v>59.07</v>
      </c>
      <c r="D37">
        <v>0</v>
      </c>
      <c r="E37">
        <v>59.07</v>
      </c>
      <c r="F37">
        <v>0</v>
      </c>
      <c r="G37">
        <v>59.07</v>
      </c>
      <c r="H37">
        <v>0</v>
      </c>
      <c r="I37">
        <v>59.07</v>
      </c>
      <c r="J37">
        <v>0</v>
      </c>
      <c r="K37">
        <v>59.07</v>
      </c>
      <c r="L37">
        <v>0</v>
      </c>
      <c r="M37">
        <v>59.07</v>
      </c>
      <c r="N37">
        <v>0</v>
      </c>
      <c r="O37">
        <v>59.07</v>
      </c>
      <c r="P37">
        <v>0</v>
      </c>
      <c r="Q37">
        <v>59.07</v>
      </c>
      <c r="R37">
        <v>0</v>
      </c>
      <c r="T37">
        <v>59.07</v>
      </c>
      <c r="U37">
        <f t="shared" si="0"/>
        <v>0</v>
      </c>
      <c r="V37">
        <f t="shared" si="1"/>
        <v>0</v>
      </c>
      <c r="W37">
        <f t="shared" si="2"/>
        <v>0</v>
      </c>
    </row>
    <row r="38" spans="1:23">
      <c r="A38">
        <v>68.69</v>
      </c>
      <c r="B38">
        <v>0</v>
      </c>
      <c r="C38">
        <v>68.69</v>
      </c>
      <c r="D38">
        <v>0</v>
      </c>
      <c r="E38">
        <v>68.69</v>
      </c>
      <c r="F38">
        <v>0</v>
      </c>
      <c r="G38">
        <v>68.69</v>
      </c>
      <c r="H38">
        <v>0</v>
      </c>
      <c r="I38">
        <v>68.69</v>
      </c>
      <c r="J38">
        <v>0</v>
      </c>
      <c r="K38">
        <v>68.69</v>
      </c>
      <c r="L38">
        <v>0</v>
      </c>
      <c r="M38">
        <v>68.69</v>
      </c>
      <c r="N38">
        <v>0</v>
      </c>
      <c r="O38">
        <v>68.69</v>
      </c>
      <c r="P38">
        <v>0</v>
      </c>
      <c r="Q38">
        <v>68.69</v>
      </c>
      <c r="R38">
        <v>0</v>
      </c>
      <c r="T38">
        <v>68.69</v>
      </c>
      <c r="U38">
        <f t="shared" si="0"/>
        <v>0</v>
      </c>
      <c r="V38">
        <f t="shared" si="1"/>
        <v>0</v>
      </c>
      <c r="W38">
        <f t="shared" si="2"/>
        <v>0</v>
      </c>
    </row>
    <row r="39" spans="1:23">
      <c r="A39">
        <v>79.88</v>
      </c>
      <c r="B39">
        <v>0</v>
      </c>
      <c r="C39">
        <v>79.88</v>
      </c>
      <c r="D39">
        <v>0</v>
      </c>
      <c r="E39">
        <v>79.88</v>
      </c>
      <c r="F39">
        <v>0</v>
      </c>
      <c r="G39">
        <v>79.88</v>
      </c>
      <c r="H39">
        <v>0</v>
      </c>
      <c r="I39">
        <v>79.88</v>
      </c>
      <c r="J39">
        <v>0</v>
      </c>
      <c r="K39">
        <v>79.88</v>
      </c>
      <c r="L39">
        <v>0</v>
      </c>
      <c r="M39">
        <v>79.88</v>
      </c>
      <c r="N39">
        <v>0</v>
      </c>
      <c r="O39">
        <v>79.88</v>
      </c>
      <c r="P39">
        <v>0</v>
      </c>
      <c r="Q39">
        <v>79.88</v>
      </c>
      <c r="R39">
        <v>0</v>
      </c>
      <c r="T39">
        <v>79.88</v>
      </c>
      <c r="U39">
        <f t="shared" si="0"/>
        <v>0</v>
      </c>
      <c r="V39">
        <f t="shared" si="1"/>
        <v>0</v>
      </c>
      <c r="W39">
        <f t="shared" si="2"/>
        <v>0</v>
      </c>
    </row>
    <row r="40" spans="1:23">
      <c r="A40">
        <v>92.89</v>
      </c>
      <c r="B40">
        <v>0</v>
      </c>
      <c r="C40">
        <v>92.89</v>
      </c>
      <c r="D40">
        <v>0</v>
      </c>
      <c r="E40">
        <v>92.89</v>
      </c>
      <c r="F40">
        <v>0</v>
      </c>
      <c r="G40">
        <v>92.89</v>
      </c>
      <c r="H40">
        <v>0</v>
      </c>
      <c r="I40">
        <v>92.89</v>
      </c>
      <c r="J40">
        <v>0</v>
      </c>
      <c r="K40">
        <v>92.89</v>
      </c>
      <c r="L40">
        <v>0</v>
      </c>
      <c r="M40">
        <v>92.89</v>
      </c>
      <c r="N40">
        <v>0</v>
      </c>
      <c r="O40">
        <v>92.89</v>
      </c>
      <c r="P40">
        <v>0</v>
      </c>
      <c r="Q40">
        <v>92.89</v>
      </c>
      <c r="R40">
        <v>0</v>
      </c>
      <c r="T40">
        <v>92.89</v>
      </c>
      <c r="U40">
        <f t="shared" si="0"/>
        <v>0</v>
      </c>
      <c r="V40">
        <f t="shared" si="1"/>
        <v>0</v>
      </c>
      <c r="W40">
        <f t="shared" si="2"/>
        <v>0</v>
      </c>
    </row>
    <row r="41" spans="1:23">
      <c r="A41">
        <v>108</v>
      </c>
      <c r="B41">
        <v>0.2848</v>
      </c>
      <c r="C41">
        <v>108</v>
      </c>
      <c r="D41">
        <v>0</v>
      </c>
      <c r="E41">
        <v>108</v>
      </c>
      <c r="F41">
        <v>0</v>
      </c>
      <c r="G41">
        <v>108</v>
      </c>
      <c r="H41">
        <v>0</v>
      </c>
      <c r="I41">
        <v>108</v>
      </c>
      <c r="J41">
        <v>0</v>
      </c>
      <c r="K41">
        <v>108</v>
      </c>
      <c r="L41">
        <v>0</v>
      </c>
      <c r="M41">
        <v>108</v>
      </c>
      <c r="N41">
        <v>0</v>
      </c>
      <c r="O41">
        <v>108</v>
      </c>
      <c r="P41">
        <v>0</v>
      </c>
      <c r="Q41">
        <v>108</v>
      </c>
      <c r="R41">
        <v>0</v>
      </c>
      <c r="T41">
        <v>108</v>
      </c>
      <c r="U41">
        <f t="shared" si="0"/>
        <v>9.4933333333333328E-2</v>
      </c>
      <c r="V41">
        <f t="shared" si="1"/>
        <v>0</v>
      </c>
      <c r="W41">
        <f t="shared" si="2"/>
        <v>0</v>
      </c>
    </row>
    <row r="42" spans="1:23">
      <c r="A42">
        <v>125.6</v>
      </c>
      <c r="B42">
        <v>1.5980000000000001</v>
      </c>
      <c r="C42">
        <v>125.6</v>
      </c>
      <c r="D42">
        <v>0.80430000000000001</v>
      </c>
      <c r="E42">
        <v>125.6</v>
      </c>
      <c r="F42">
        <v>0.77490000000000003</v>
      </c>
      <c r="G42">
        <v>125.6</v>
      </c>
      <c r="H42">
        <v>0</v>
      </c>
      <c r="I42">
        <v>125.6</v>
      </c>
      <c r="J42">
        <v>0</v>
      </c>
      <c r="K42">
        <v>125.6</v>
      </c>
      <c r="L42">
        <v>0</v>
      </c>
      <c r="M42">
        <v>125.6</v>
      </c>
      <c r="N42">
        <v>0</v>
      </c>
      <c r="O42">
        <v>125.6</v>
      </c>
      <c r="P42">
        <v>0</v>
      </c>
      <c r="Q42">
        <v>125.6</v>
      </c>
      <c r="R42">
        <v>0</v>
      </c>
      <c r="T42">
        <v>125.6</v>
      </c>
      <c r="U42">
        <f t="shared" si="0"/>
        <v>1.0590666666666668</v>
      </c>
      <c r="V42">
        <f t="shared" si="1"/>
        <v>0</v>
      </c>
      <c r="W42">
        <f t="shared" si="2"/>
        <v>0</v>
      </c>
    </row>
    <row r="43" spans="1:23">
      <c r="A43">
        <v>146.1</v>
      </c>
      <c r="B43">
        <v>3.8610000000000002</v>
      </c>
      <c r="C43">
        <v>146.1</v>
      </c>
      <c r="D43">
        <v>2.9249999999999998</v>
      </c>
      <c r="E43">
        <v>146.1</v>
      </c>
      <c r="F43">
        <v>3.3479999999999999</v>
      </c>
      <c r="G43">
        <v>146.1</v>
      </c>
      <c r="H43">
        <v>0</v>
      </c>
      <c r="I43">
        <v>146.1</v>
      </c>
      <c r="J43">
        <v>0</v>
      </c>
      <c r="K43">
        <v>146.1</v>
      </c>
      <c r="L43">
        <v>0</v>
      </c>
      <c r="M43">
        <v>146.1</v>
      </c>
      <c r="N43">
        <v>0.63700000000000001</v>
      </c>
      <c r="O43">
        <v>146.1</v>
      </c>
      <c r="P43">
        <v>0.2208</v>
      </c>
      <c r="Q43">
        <v>146.1</v>
      </c>
      <c r="R43">
        <v>0</v>
      </c>
      <c r="T43">
        <v>146.1</v>
      </c>
      <c r="U43">
        <f t="shared" si="0"/>
        <v>3.3780000000000001</v>
      </c>
      <c r="V43">
        <f t="shared" si="1"/>
        <v>0</v>
      </c>
      <c r="W43">
        <f t="shared" si="2"/>
        <v>0.28593333333333332</v>
      </c>
    </row>
    <row r="44" spans="1:23">
      <c r="A44">
        <v>169.9</v>
      </c>
      <c r="B44">
        <v>6.6280000000000001</v>
      </c>
      <c r="C44">
        <v>169.9</v>
      </c>
      <c r="D44">
        <v>6.05</v>
      </c>
      <c r="E44">
        <v>169.9</v>
      </c>
      <c r="F44">
        <v>6.9779999999999998</v>
      </c>
      <c r="G44">
        <v>169.9</v>
      </c>
      <c r="H44">
        <v>4.306</v>
      </c>
      <c r="I44">
        <v>169.9</v>
      </c>
      <c r="J44">
        <v>5.9370000000000003</v>
      </c>
      <c r="K44">
        <v>169.9</v>
      </c>
      <c r="L44">
        <v>6.399</v>
      </c>
      <c r="M44">
        <v>169.9</v>
      </c>
      <c r="N44">
        <v>3.7</v>
      </c>
      <c r="O44">
        <v>169.9</v>
      </c>
      <c r="P44">
        <v>3.2130000000000001</v>
      </c>
      <c r="Q44">
        <v>169.9</v>
      </c>
      <c r="R44">
        <v>2.157</v>
      </c>
      <c r="T44">
        <v>169.9</v>
      </c>
      <c r="U44">
        <f t="shared" si="0"/>
        <v>6.5519999999999996</v>
      </c>
      <c r="V44">
        <f t="shared" si="1"/>
        <v>5.5473333333333334</v>
      </c>
      <c r="W44">
        <f t="shared" si="2"/>
        <v>3.0233333333333334</v>
      </c>
    </row>
    <row r="45" spans="1:23">
      <c r="A45">
        <v>197.6</v>
      </c>
      <c r="B45">
        <v>9.3510000000000009</v>
      </c>
      <c r="C45">
        <v>197.6</v>
      </c>
      <c r="D45">
        <v>9.4629999999999992</v>
      </c>
      <c r="E45">
        <v>197.6</v>
      </c>
      <c r="F45">
        <v>10.52</v>
      </c>
      <c r="G45">
        <v>197.6</v>
      </c>
      <c r="H45">
        <v>14.59</v>
      </c>
      <c r="I45">
        <v>197.6</v>
      </c>
      <c r="J45">
        <v>15.58</v>
      </c>
      <c r="K45">
        <v>197.6</v>
      </c>
      <c r="L45">
        <v>17.149999999999999</v>
      </c>
      <c r="M45">
        <v>197.6</v>
      </c>
      <c r="N45">
        <v>8.6129999999999995</v>
      </c>
      <c r="O45">
        <v>197.6</v>
      </c>
      <c r="P45">
        <v>8.3149999999999995</v>
      </c>
      <c r="Q45">
        <v>197.6</v>
      </c>
      <c r="R45">
        <v>7.9740000000000002</v>
      </c>
      <c r="T45">
        <v>197.6</v>
      </c>
      <c r="U45">
        <f t="shared" si="0"/>
        <v>9.7780000000000005</v>
      </c>
      <c r="V45">
        <f t="shared" si="1"/>
        <v>15.773333333333333</v>
      </c>
      <c r="W45">
        <f t="shared" si="2"/>
        <v>8.3006666666666664</v>
      </c>
    </row>
    <row r="46" spans="1:23">
      <c r="A46">
        <v>229.8</v>
      </c>
      <c r="B46">
        <v>11.53</v>
      </c>
      <c r="C46">
        <v>229.8</v>
      </c>
      <c r="D46">
        <v>12.37</v>
      </c>
      <c r="E46">
        <v>229.8</v>
      </c>
      <c r="F46">
        <v>13.08</v>
      </c>
      <c r="G46">
        <v>229.8</v>
      </c>
      <c r="H46">
        <v>23.99</v>
      </c>
      <c r="I46">
        <v>229.8</v>
      </c>
      <c r="J46">
        <v>23.11</v>
      </c>
      <c r="K46">
        <v>229.8</v>
      </c>
      <c r="L46">
        <v>25.21</v>
      </c>
      <c r="M46">
        <v>229.8</v>
      </c>
      <c r="N46">
        <v>13.72</v>
      </c>
      <c r="O46">
        <v>229.8</v>
      </c>
      <c r="P46">
        <v>13.62</v>
      </c>
      <c r="Q46">
        <v>229.8</v>
      </c>
      <c r="R46">
        <v>15.13</v>
      </c>
      <c r="T46">
        <v>229.8</v>
      </c>
      <c r="U46">
        <f t="shared" si="0"/>
        <v>12.326666666666666</v>
      </c>
      <c r="V46">
        <f t="shared" si="1"/>
        <v>24.103333333333335</v>
      </c>
      <c r="W46">
        <f t="shared" si="2"/>
        <v>14.156666666666666</v>
      </c>
    </row>
    <row r="47" spans="1:23">
      <c r="A47">
        <v>267.2</v>
      </c>
      <c r="B47">
        <v>12.82</v>
      </c>
      <c r="C47">
        <v>267.2</v>
      </c>
      <c r="D47">
        <v>14.15</v>
      </c>
      <c r="E47">
        <v>267.2</v>
      </c>
      <c r="F47">
        <v>14.19</v>
      </c>
      <c r="G47">
        <v>267.2</v>
      </c>
      <c r="H47">
        <v>26.21</v>
      </c>
      <c r="I47">
        <v>267.2</v>
      </c>
      <c r="J47">
        <v>24.3</v>
      </c>
      <c r="K47">
        <v>267.2</v>
      </c>
      <c r="L47">
        <v>25.5</v>
      </c>
      <c r="M47">
        <v>267.2</v>
      </c>
      <c r="N47">
        <v>17.28</v>
      </c>
      <c r="O47">
        <v>267.2</v>
      </c>
      <c r="P47">
        <v>17.260000000000002</v>
      </c>
      <c r="Q47">
        <v>267.2</v>
      </c>
      <c r="R47">
        <v>20.34</v>
      </c>
      <c r="T47">
        <v>267.2</v>
      </c>
      <c r="U47">
        <f t="shared" si="0"/>
        <v>13.719999999999999</v>
      </c>
      <c r="V47">
        <f t="shared" si="1"/>
        <v>25.33666666666667</v>
      </c>
      <c r="W47">
        <f t="shared" si="2"/>
        <v>18.293333333333337</v>
      </c>
    </row>
    <row r="48" spans="1:23">
      <c r="A48">
        <v>310.7</v>
      </c>
      <c r="B48">
        <v>13.03</v>
      </c>
      <c r="C48">
        <v>310.7</v>
      </c>
      <c r="D48">
        <v>14.46</v>
      </c>
      <c r="E48">
        <v>310.7</v>
      </c>
      <c r="F48">
        <v>13.81</v>
      </c>
      <c r="G48">
        <v>310.7</v>
      </c>
      <c r="H48">
        <v>20</v>
      </c>
      <c r="I48">
        <v>310.7</v>
      </c>
      <c r="J48">
        <v>18.78</v>
      </c>
      <c r="K48">
        <v>310.7</v>
      </c>
      <c r="L48">
        <v>18</v>
      </c>
      <c r="M48">
        <v>310.7</v>
      </c>
      <c r="N48">
        <v>18.170000000000002</v>
      </c>
      <c r="O48">
        <v>310.7</v>
      </c>
      <c r="P48">
        <v>18.11</v>
      </c>
      <c r="Q48">
        <v>310.7</v>
      </c>
      <c r="R48">
        <v>21.28</v>
      </c>
      <c r="T48">
        <v>310.7</v>
      </c>
      <c r="U48">
        <f t="shared" si="0"/>
        <v>13.766666666666667</v>
      </c>
      <c r="V48">
        <f t="shared" si="1"/>
        <v>18.926666666666666</v>
      </c>
      <c r="W48">
        <f t="shared" si="2"/>
        <v>19.186666666666667</v>
      </c>
    </row>
    <row r="49" spans="1:23">
      <c r="A49">
        <v>361.3</v>
      </c>
      <c r="B49">
        <v>12.16</v>
      </c>
      <c r="C49">
        <v>361.3</v>
      </c>
      <c r="D49">
        <v>13.29</v>
      </c>
      <c r="E49">
        <v>361.3</v>
      </c>
      <c r="F49">
        <v>12.2</v>
      </c>
      <c r="G49">
        <v>361.3</v>
      </c>
      <c r="H49">
        <v>9.4830000000000005</v>
      </c>
      <c r="I49">
        <v>361.3</v>
      </c>
      <c r="J49">
        <v>9.8369999999999997</v>
      </c>
      <c r="K49">
        <v>361.3</v>
      </c>
      <c r="L49">
        <v>7.4210000000000003</v>
      </c>
      <c r="M49">
        <v>361.3</v>
      </c>
      <c r="N49">
        <v>16.149999999999999</v>
      </c>
      <c r="O49">
        <v>361.3</v>
      </c>
      <c r="P49">
        <v>16.04</v>
      </c>
      <c r="Q49">
        <v>361.3</v>
      </c>
      <c r="R49">
        <v>17.59</v>
      </c>
      <c r="T49">
        <v>361.3</v>
      </c>
      <c r="U49">
        <f t="shared" si="0"/>
        <v>12.549999999999999</v>
      </c>
      <c r="V49">
        <f t="shared" si="1"/>
        <v>8.913666666666666</v>
      </c>
      <c r="W49">
        <f t="shared" si="2"/>
        <v>16.593333333333334</v>
      </c>
    </row>
    <row r="50" spans="1:23">
      <c r="A50">
        <v>420.2</v>
      </c>
      <c r="B50">
        <v>10.39</v>
      </c>
      <c r="C50">
        <v>420.2</v>
      </c>
      <c r="D50">
        <v>10.92</v>
      </c>
      <c r="E50">
        <v>420.2</v>
      </c>
      <c r="F50">
        <v>9.8030000000000008</v>
      </c>
      <c r="G50">
        <v>420.2</v>
      </c>
      <c r="H50">
        <v>1.4219999999999999</v>
      </c>
      <c r="I50">
        <v>420.2</v>
      </c>
      <c r="J50">
        <v>2.4529999999999998</v>
      </c>
      <c r="K50">
        <v>420.2</v>
      </c>
      <c r="L50">
        <v>0.31740000000000002</v>
      </c>
      <c r="M50">
        <v>420.2</v>
      </c>
      <c r="N50">
        <v>11.93</v>
      </c>
      <c r="O50">
        <v>420.2</v>
      </c>
      <c r="P50">
        <v>11.85</v>
      </c>
      <c r="Q50">
        <v>420.2</v>
      </c>
      <c r="R50">
        <v>10.94</v>
      </c>
      <c r="T50">
        <v>420.2</v>
      </c>
      <c r="U50">
        <f t="shared" si="0"/>
        <v>10.371</v>
      </c>
      <c r="V50">
        <f t="shared" si="1"/>
        <v>1.3974666666666666</v>
      </c>
      <c r="W50">
        <f t="shared" si="2"/>
        <v>11.573333333333332</v>
      </c>
    </row>
    <row r="51" spans="1:23">
      <c r="A51">
        <v>488.7</v>
      </c>
      <c r="B51">
        <v>8.0329999999999995</v>
      </c>
      <c r="C51">
        <v>488.7</v>
      </c>
      <c r="D51">
        <v>7.8920000000000003</v>
      </c>
      <c r="E51">
        <v>488.7</v>
      </c>
      <c r="F51">
        <v>7.0990000000000002</v>
      </c>
      <c r="G51">
        <v>488.7</v>
      </c>
      <c r="H51">
        <v>0</v>
      </c>
      <c r="I51">
        <v>488.7</v>
      </c>
      <c r="J51">
        <v>0</v>
      </c>
      <c r="K51">
        <v>488.7</v>
      </c>
      <c r="L51">
        <v>0</v>
      </c>
      <c r="M51">
        <v>488.7</v>
      </c>
      <c r="N51">
        <v>6.8929999999999998</v>
      </c>
      <c r="O51">
        <v>488.7</v>
      </c>
      <c r="P51">
        <v>6.93</v>
      </c>
      <c r="Q51">
        <v>488.7</v>
      </c>
      <c r="R51">
        <v>4.2539999999999996</v>
      </c>
      <c r="T51">
        <v>488.7</v>
      </c>
      <c r="U51">
        <f t="shared" si="0"/>
        <v>7.674666666666667</v>
      </c>
      <c r="V51">
        <f t="shared" si="1"/>
        <v>0</v>
      </c>
      <c r="W51">
        <f t="shared" si="2"/>
        <v>6.0256666666666661</v>
      </c>
    </row>
    <row r="52" spans="1:23">
      <c r="A52">
        <v>568.29999999999995</v>
      </c>
      <c r="B52">
        <v>5.48</v>
      </c>
      <c r="C52">
        <v>568.29999999999995</v>
      </c>
      <c r="D52">
        <v>4.8040000000000003</v>
      </c>
      <c r="E52">
        <v>568.29999999999995</v>
      </c>
      <c r="F52">
        <v>4.5309999999999997</v>
      </c>
      <c r="G52">
        <v>568.29999999999995</v>
      </c>
      <c r="H52">
        <v>0</v>
      </c>
      <c r="I52">
        <v>568.29999999999995</v>
      </c>
      <c r="J52">
        <v>0</v>
      </c>
      <c r="K52">
        <v>568.29999999999995</v>
      </c>
      <c r="L52">
        <v>0</v>
      </c>
      <c r="M52">
        <v>568.29999999999995</v>
      </c>
      <c r="N52">
        <v>2.617</v>
      </c>
      <c r="O52">
        <v>568.29999999999995</v>
      </c>
      <c r="P52">
        <v>2.7669999999999999</v>
      </c>
      <c r="Q52">
        <v>568.29999999999995</v>
      </c>
      <c r="R52">
        <v>0.33229999999999998</v>
      </c>
      <c r="T52">
        <v>568.29999999999995</v>
      </c>
      <c r="U52">
        <f t="shared" si="0"/>
        <v>4.9383333333333335</v>
      </c>
      <c r="V52">
        <f t="shared" si="1"/>
        <v>0</v>
      </c>
      <c r="W52">
        <f t="shared" si="2"/>
        <v>1.9054333333333335</v>
      </c>
    </row>
    <row r="53" spans="1:23">
      <c r="A53">
        <v>660.9</v>
      </c>
      <c r="B53">
        <v>3.141</v>
      </c>
      <c r="C53">
        <v>660.9</v>
      </c>
      <c r="D53">
        <v>2.2450000000000001</v>
      </c>
      <c r="E53">
        <v>660.9</v>
      </c>
      <c r="F53">
        <v>2.4329999999999998</v>
      </c>
      <c r="G53">
        <v>660.9</v>
      </c>
      <c r="H53">
        <v>0</v>
      </c>
      <c r="I53">
        <v>660.9</v>
      </c>
      <c r="J53">
        <v>0</v>
      </c>
      <c r="K53">
        <v>660.9</v>
      </c>
      <c r="L53">
        <v>0</v>
      </c>
      <c r="M53">
        <v>660.9</v>
      </c>
      <c r="N53">
        <v>0.29020000000000001</v>
      </c>
      <c r="O53">
        <v>660.9</v>
      </c>
      <c r="P53">
        <v>0.4345</v>
      </c>
      <c r="Q53">
        <v>660.9</v>
      </c>
      <c r="R53">
        <v>0</v>
      </c>
      <c r="T53">
        <v>660.9</v>
      </c>
      <c r="U53">
        <f t="shared" si="0"/>
        <v>2.6063333333333332</v>
      </c>
      <c r="V53">
        <f t="shared" si="1"/>
        <v>0</v>
      </c>
      <c r="W53">
        <f t="shared" si="2"/>
        <v>0.24156666666666668</v>
      </c>
    </row>
    <row r="54" spans="1:23">
      <c r="A54">
        <v>768.5</v>
      </c>
      <c r="B54">
        <v>1.36</v>
      </c>
      <c r="C54">
        <v>768.5</v>
      </c>
      <c r="D54">
        <v>0.61799999999999999</v>
      </c>
      <c r="E54">
        <v>768.5</v>
      </c>
      <c r="F54">
        <v>0.99199999999999999</v>
      </c>
      <c r="G54">
        <v>768.5</v>
      </c>
      <c r="H54">
        <v>0</v>
      </c>
      <c r="I54">
        <v>768.5</v>
      </c>
      <c r="J54">
        <v>0</v>
      </c>
      <c r="K54">
        <v>768.5</v>
      </c>
      <c r="L54">
        <v>0</v>
      </c>
      <c r="M54">
        <v>768.5</v>
      </c>
      <c r="N54">
        <v>0</v>
      </c>
      <c r="O54">
        <v>768.5</v>
      </c>
      <c r="P54">
        <v>0</v>
      </c>
      <c r="Q54">
        <v>768.5</v>
      </c>
      <c r="R54">
        <v>0</v>
      </c>
      <c r="T54">
        <v>768.5</v>
      </c>
      <c r="U54">
        <f t="shared" si="0"/>
        <v>0.9900000000000001</v>
      </c>
      <c r="V54">
        <f t="shared" si="1"/>
        <v>0</v>
      </c>
      <c r="W54">
        <f t="shared" si="2"/>
        <v>0</v>
      </c>
    </row>
    <row r="55" spans="1:23">
      <c r="A55">
        <v>893.8</v>
      </c>
      <c r="B55">
        <v>0.32879999999999998</v>
      </c>
      <c r="C55">
        <v>893.8</v>
      </c>
      <c r="D55">
        <v>0</v>
      </c>
      <c r="E55">
        <v>893.8</v>
      </c>
      <c r="F55">
        <v>0.2291</v>
      </c>
      <c r="G55">
        <v>893.8</v>
      </c>
      <c r="H55">
        <v>0</v>
      </c>
      <c r="I55">
        <v>893.8</v>
      </c>
      <c r="J55">
        <v>0</v>
      </c>
      <c r="K55">
        <v>893.8</v>
      </c>
      <c r="L55">
        <v>0</v>
      </c>
      <c r="M55">
        <v>893.8</v>
      </c>
      <c r="N55">
        <v>0</v>
      </c>
      <c r="O55">
        <v>893.8</v>
      </c>
      <c r="P55">
        <v>0</v>
      </c>
      <c r="Q55">
        <v>893.8</v>
      </c>
      <c r="R55">
        <v>0</v>
      </c>
      <c r="T55">
        <v>893.8</v>
      </c>
      <c r="U55">
        <f t="shared" si="0"/>
        <v>0.18596666666666664</v>
      </c>
      <c r="V55">
        <f t="shared" si="1"/>
        <v>0</v>
      </c>
      <c r="W55">
        <f t="shared" si="2"/>
        <v>0</v>
      </c>
    </row>
    <row r="56" spans="1:23">
      <c r="A56">
        <v>1039</v>
      </c>
      <c r="B56">
        <v>0</v>
      </c>
      <c r="C56">
        <v>1039</v>
      </c>
      <c r="D56">
        <v>0</v>
      </c>
      <c r="E56">
        <v>1039</v>
      </c>
      <c r="F56">
        <v>0</v>
      </c>
      <c r="G56">
        <v>1039</v>
      </c>
      <c r="H56">
        <v>0</v>
      </c>
      <c r="I56">
        <v>1039</v>
      </c>
      <c r="J56">
        <v>0</v>
      </c>
      <c r="K56">
        <v>1039</v>
      </c>
      <c r="L56">
        <v>0</v>
      </c>
      <c r="M56">
        <v>1039</v>
      </c>
      <c r="N56">
        <v>0</v>
      </c>
      <c r="O56">
        <v>1039</v>
      </c>
      <c r="P56">
        <v>0</v>
      </c>
      <c r="Q56">
        <v>1039</v>
      </c>
      <c r="R56">
        <v>0</v>
      </c>
      <c r="T56">
        <v>1039</v>
      </c>
      <c r="U56">
        <f t="shared" si="0"/>
        <v>0</v>
      </c>
      <c r="V56">
        <f t="shared" si="1"/>
        <v>0</v>
      </c>
      <c r="W56">
        <f t="shared" si="2"/>
        <v>0</v>
      </c>
    </row>
    <row r="57" spans="1:23">
      <c r="A57">
        <v>1209</v>
      </c>
      <c r="B57">
        <v>0</v>
      </c>
      <c r="C57">
        <v>1209</v>
      </c>
      <c r="D57">
        <v>0</v>
      </c>
      <c r="E57">
        <v>1209</v>
      </c>
      <c r="F57">
        <v>0</v>
      </c>
      <c r="G57">
        <v>1209</v>
      </c>
      <c r="H57">
        <v>0</v>
      </c>
      <c r="I57">
        <v>1209</v>
      </c>
      <c r="J57">
        <v>0</v>
      </c>
      <c r="K57">
        <v>1209</v>
      </c>
      <c r="L57">
        <v>0</v>
      </c>
      <c r="M57">
        <v>1209</v>
      </c>
      <c r="N57">
        <v>0</v>
      </c>
      <c r="O57">
        <v>1209</v>
      </c>
      <c r="P57">
        <v>0</v>
      </c>
      <c r="Q57">
        <v>1209</v>
      </c>
      <c r="R57">
        <v>0</v>
      </c>
      <c r="T57">
        <v>1209</v>
      </c>
      <c r="U57">
        <f t="shared" si="0"/>
        <v>0</v>
      </c>
      <c r="V57">
        <f t="shared" si="1"/>
        <v>0</v>
      </c>
      <c r="W57">
        <f t="shared" si="2"/>
        <v>0</v>
      </c>
    </row>
    <row r="58" spans="1:23">
      <c r="A58">
        <v>1406</v>
      </c>
      <c r="B58">
        <v>0</v>
      </c>
      <c r="C58">
        <v>1406</v>
      </c>
      <c r="D58">
        <v>0</v>
      </c>
      <c r="E58">
        <v>1406</v>
      </c>
      <c r="F58">
        <v>0</v>
      </c>
      <c r="G58">
        <v>1406</v>
      </c>
      <c r="H58">
        <v>0</v>
      </c>
      <c r="I58">
        <v>1406</v>
      </c>
      <c r="J58">
        <v>0</v>
      </c>
      <c r="K58">
        <v>1406</v>
      </c>
      <c r="L58">
        <v>0</v>
      </c>
      <c r="M58">
        <v>1406</v>
      </c>
      <c r="N58">
        <v>0</v>
      </c>
      <c r="O58">
        <v>1406</v>
      </c>
      <c r="P58">
        <v>0</v>
      </c>
      <c r="Q58">
        <v>1406</v>
      </c>
      <c r="R58">
        <v>0</v>
      </c>
      <c r="T58">
        <v>1406</v>
      </c>
      <c r="U58">
        <f t="shared" si="0"/>
        <v>0</v>
      </c>
      <c r="V58">
        <f t="shared" si="1"/>
        <v>0</v>
      </c>
      <c r="W58">
        <f t="shared" si="2"/>
        <v>0</v>
      </c>
    </row>
    <row r="59" spans="1:23">
      <c r="A59">
        <v>1635</v>
      </c>
      <c r="B59">
        <v>0</v>
      </c>
      <c r="C59">
        <v>1635</v>
      </c>
      <c r="D59">
        <v>0</v>
      </c>
      <c r="E59">
        <v>1635</v>
      </c>
      <c r="F59">
        <v>0</v>
      </c>
      <c r="G59">
        <v>1635</v>
      </c>
      <c r="H59">
        <v>0</v>
      </c>
      <c r="I59">
        <v>1635</v>
      </c>
      <c r="J59">
        <v>0</v>
      </c>
      <c r="K59">
        <v>1635</v>
      </c>
      <c r="L59">
        <v>0</v>
      </c>
      <c r="M59">
        <v>1635</v>
      </c>
      <c r="N59">
        <v>0</v>
      </c>
      <c r="O59">
        <v>1635</v>
      </c>
      <c r="P59">
        <v>0</v>
      </c>
      <c r="Q59">
        <v>1635</v>
      </c>
      <c r="R59">
        <v>0</v>
      </c>
      <c r="T59">
        <v>1635</v>
      </c>
      <c r="U59">
        <f t="shared" si="0"/>
        <v>0</v>
      </c>
      <c r="V59">
        <f t="shared" si="1"/>
        <v>0</v>
      </c>
      <c r="W59">
        <f t="shared" si="2"/>
        <v>0</v>
      </c>
    </row>
    <row r="60" spans="1:23">
      <c r="A60">
        <v>1901</v>
      </c>
      <c r="B60">
        <v>0</v>
      </c>
      <c r="C60">
        <v>1901</v>
      </c>
      <c r="D60">
        <v>0</v>
      </c>
      <c r="E60">
        <v>1901</v>
      </c>
      <c r="F60">
        <v>0</v>
      </c>
      <c r="G60">
        <v>1901</v>
      </c>
      <c r="H60">
        <v>0</v>
      </c>
      <c r="I60">
        <v>1901</v>
      </c>
      <c r="J60">
        <v>0</v>
      </c>
      <c r="K60">
        <v>1901</v>
      </c>
      <c r="L60">
        <v>0</v>
      </c>
      <c r="M60">
        <v>1901</v>
      </c>
      <c r="N60">
        <v>0</v>
      </c>
      <c r="O60">
        <v>1901</v>
      </c>
      <c r="P60">
        <v>0</v>
      </c>
      <c r="Q60">
        <v>1901</v>
      </c>
      <c r="R60">
        <v>0</v>
      </c>
      <c r="T60">
        <v>1901</v>
      </c>
      <c r="U60">
        <f t="shared" si="0"/>
        <v>0</v>
      </c>
      <c r="V60">
        <f t="shared" si="1"/>
        <v>0</v>
      </c>
      <c r="W60">
        <f t="shared" si="2"/>
        <v>0</v>
      </c>
    </row>
    <row r="61" spans="1:23">
      <c r="A61">
        <v>2211</v>
      </c>
      <c r="B61">
        <v>0</v>
      </c>
      <c r="C61">
        <v>2211</v>
      </c>
      <c r="D61">
        <v>0</v>
      </c>
      <c r="E61">
        <v>2211</v>
      </c>
      <c r="F61">
        <v>0</v>
      </c>
      <c r="G61">
        <v>2211</v>
      </c>
      <c r="H61">
        <v>0</v>
      </c>
      <c r="I61">
        <v>2211</v>
      </c>
      <c r="J61">
        <v>0</v>
      </c>
      <c r="K61">
        <v>2211</v>
      </c>
      <c r="L61">
        <v>0</v>
      </c>
      <c r="M61">
        <v>2211</v>
      </c>
      <c r="N61">
        <v>0</v>
      </c>
      <c r="O61">
        <v>2211</v>
      </c>
      <c r="P61">
        <v>0</v>
      </c>
      <c r="Q61">
        <v>2211</v>
      </c>
      <c r="R61">
        <v>0</v>
      </c>
      <c r="T61">
        <v>2211</v>
      </c>
      <c r="U61">
        <f t="shared" si="0"/>
        <v>0</v>
      </c>
      <c r="V61">
        <f t="shared" si="1"/>
        <v>0</v>
      </c>
      <c r="W61">
        <f t="shared" si="2"/>
        <v>0</v>
      </c>
    </row>
    <row r="62" spans="1:23">
      <c r="A62">
        <v>2571</v>
      </c>
      <c r="B62">
        <v>0</v>
      </c>
      <c r="C62">
        <v>2571</v>
      </c>
      <c r="D62">
        <v>0</v>
      </c>
      <c r="E62">
        <v>2571</v>
      </c>
      <c r="F62">
        <v>0</v>
      </c>
      <c r="G62">
        <v>2571</v>
      </c>
      <c r="H62">
        <v>0</v>
      </c>
      <c r="I62">
        <v>2571</v>
      </c>
      <c r="J62">
        <v>0</v>
      </c>
      <c r="K62">
        <v>2571</v>
      </c>
      <c r="L62">
        <v>0</v>
      </c>
      <c r="M62">
        <v>2571</v>
      </c>
      <c r="N62">
        <v>0</v>
      </c>
      <c r="O62">
        <v>2571</v>
      </c>
      <c r="P62">
        <v>0</v>
      </c>
      <c r="Q62">
        <v>2571</v>
      </c>
      <c r="R62">
        <v>0</v>
      </c>
      <c r="T62">
        <v>2571</v>
      </c>
      <c r="U62">
        <f t="shared" si="0"/>
        <v>0</v>
      </c>
      <c r="V62">
        <f t="shared" si="1"/>
        <v>0</v>
      </c>
      <c r="W62">
        <f t="shared" si="2"/>
        <v>0</v>
      </c>
    </row>
    <row r="63" spans="1:23">
      <c r="A63">
        <v>2990</v>
      </c>
      <c r="B63">
        <v>0</v>
      </c>
      <c r="C63">
        <v>2990</v>
      </c>
      <c r="D63">
        <v>0</v>
      </c>
      <c r="E63">
        <v>2990</v>
      </c>
      <c r="F63">
        <v>0</v>
      </c>
      <c r="G63">
        <v>2990</v>
      </c>
      <c r="H63">
        <v>0</v>
      </c>
      <c r="I63">
        <v>2990</v>
      </c>
      <c r="J63">
        <v>0</v>
      </c>
      <c r="K63">
        <v>2990</v>
      </c>
      <c r="L63">
        <v>0</v>
      </c>
      <c r="M63">
        <v>2990</v>
      </c>
      <c r="N63">
        <v>0</v>
      </c>
      <c r="O63">
        <v>2990</v>
      </c>
      <c r="P63">
        <v>0</v>
      </c>
      <c r="Q63">
        <v>2990</v>
      </c>
      <c r="R63">
        <v>0</v>
      </c>
      <c r="T63">
        <v>2990</v>
      </c>
      <c r="U63">
        <f t="shared" si="0"/>
        <v>0</v>
      </c>
      <c r="V63">
        <f t="shared" si="1"/>
        <v>0</v>
      </c>
      <c r="W63">
        <f t="shared" si="2"/>
        <v>0</v>
      </c>
    </row>
    <row r="64" spans="1:23">
      <c r="A64">
        <v>3477</v>
      </c>
      <c r="B64">
        <v>0</v>
      </c>
      <c r="C64">
        <v>3477</v>
      </c>
      <c r="D64">
        <v>0</v>
      </c>
      <c r="E64">
        <v>3477</v>
      </c>
      <c r="F64">
        <v>0</v>
      </c>
      <c r="G64">
        <v>3477</v>
      </c>
      <c r="H64">
        <v>0</v>
      </c>
      <c r="I64">
        <v>3477</v>
      </c>
      <c r="J64">
        <v>0</v>
      </c>
      <c r="K64">
        <v>3477</v>
      </c>
      <c r="L64">
        <v>0</v>
      </c>
      <c r="M64">
        <v>3477</v>
      </c>
      <c r="N64">
        <v>0</v>
      </c>
      <c r="O64">
        <v>3477</v>
      </c>
      <c r="P64">
        <v>0</v>
      </c>
      <c r="Q64">
        <v>3477</v>
      </c>
      <c r="R64">
        <v>0</v>
      </c>
      <c r="T64">
        <v>3477</v>
      </c>
      <c r="U64">
        <f t="shared" si="0"/>
        <v>0</v>
      </c>
      <c r="V64">
        <f t="shared" si="1"/>
        <v>0</v>
      </c>
      <c r="W64">
        <f t="shared" si="2"/>
        <v>0</v>
      </c>
    </row>
    <row r="65" spans="1:23">
      <c r="A65">
        <v>4043</v>
      </c>
      <c r="B65">
        <v>0</v>
      </c>
      <c r="C65">
        <v>4043</v>
      </c>
      <c r="D65">
        <v>0</v>
      </c>
      <c r="E65">
        <v>4043</v>
      </c>
      <c r="F65">
        <v>0</v>
      </c>
      <c r="G65">
        <v>4043</v>
      </c>
      <c r="H65">
        <v>0</v>
      </c>
      <c r="I65">
        <v>4043</v>
      </c>
      <c r="J65">
        <v>0</v>
      </c>
      <c r="K65">
        <v>4043</v>
      </c>
      <c r="L65">
        <v>0</v>
      </c>
      <c r="M65">
        <v>4043</v>
      </c>
      <c r="N65">
        <v>0</v>
      </c>
      <c r="O65">
        <v>4043</v>
      </c>
      <c r="P65">
        <v>0</v>
      </c>
      <c r="Q65">
        <v>4043</v>
      </c>
      <c r="R65">
        <v>0</v>
      </c>
      <c r="T65">
        <v>4043</v>
      </c>
      <c r="U65">
        <f t="shared" si="0"/>
        <v>0</v>
      </c>
      <c r="V65">
        <f t="shared" si="1"/>
        <v>0</v>
      </c>
      <c r="W65">
        <f t="shared" si="2"/>
        <v>0</v>
      </c>
    </row>
    <row r="66" spans="1:23">
      <c r="A66">
        <v>4702</v>
      </c>
      <c r="B66">
        <v>0</v>
      </c>
      <c r="C66">
        <v>4702</v>
      </c>
      <c r="D66">
        <v>0</v>
      </c>
      <c r="E66">
        <v>4702</v>
      </c>
      <c r="F66">
        <v>0</v>
      </c>
      <c r="G66">
        <v>4702</v>
      </c>
      <c r="H66">
        <v>0</v>
      </c>
      <c r="I66">
        <v>4702</v>
      </c>
      <c r="J66">
        <v>0</v>
      </c>
      <c r="K66">
        <v>4702</v>
      </c>
      <c r="L66">
        <v>0</v>
      </c>
      <c r="M66">
        <v>4702</v>
      </c>
      <c r="N66">
        <v>0</v>
      </c>
      <c r="O66">
        <v>4702</v>
      </c>
      <c r="P66">
        <v>0.21029999999999999</v>
      </c>
      <c r="Q66">
        <v>4702</v>
      </c>
      <c r="R66">
        <v>0</v>
      </c>
      <c r="T66">
        <v>4702</v>
      </c>
      <c r="U66">
        <f t="shared" si="0"/>
        <v>0</v>
      </c>
      <c r="V66">
        <f t="shared" si="1"/>
        <v>0</v>
      </c>
      <c r="W66">
        <f t="shared" si="2"/>
        <v>7.0099999999999996E-2</v>
      </c>
    </row>
    <row r="67" spans="1:23">
      <c r="A67">
        <v>5468</v>
      </c>
      <c r="B67">
        <v>0</v>
      </c>
      <c r="C67">
        <v>5468</v>
      </c>
      <c r="D67">
        <v>0</v>
      </c>
      <c r="E67">
        <v>5468</v>
      </c>
      <c r="F67">
        <v>0</v>
      </c>
      <c r="G67">
        <v>5468</v>
      </c>
      <c r="H67">
        <v>0</v>
      </c>
      <c r="I67">
        <v>5468</v>
      </c>
      <c r="J67">
        <v>0</v>
      </c>
      <c r="K67">
        <v>5468</v>
      </c>
      <c r="L67">
        <v>0</v>
      </c>
      <c r="M67">
        <v>5468</v>
      </c>
      <c r="N67">
        <v>0</v>
      </c>
      <c r="O67">
        <v>5468</v>
      </c>
      <c r="P67">
        <v>1.032</v>
      </c>
      <c r="Q67">
        <v>5468</v>
      </c>
      <c r="R67">
        <v>0</v>
      </c>
      <c r="T67">
        <v>5468</v>
      </c>
      <c r="U67">
        <f>AVERAGE(B67,D67,F67)</f>
        <v>0</v>
      </c>
      <c r="V67">
        <f>AVERAGE(H67,J67,L67)</f>
        <v>0</v>
      </c>
      <c r="W67">
        <f>AVERAGE(N67,P67,R67)</f>
        <v>0.34400000000000003</v>
      </c>
    </row>
    <row r="68" spans="1:23">
      <c r="A68">
        <v>6358</v>
      </c>
      <c r="B68">
        <v>0</v>
      </c>
      <c r="C68">
        <v>6358</v>
      </c>
      <c r="D68">
        <v>0</v>
      </c>
      <c r="E68">
        <v>6358</v>
      </c>
      <c r="F68">
        <v>0</v>
      </c>
      <c r="G68">
        <v>6358</v>
      </c>
      <c r="H68">
        <v>0</v>
      </c>
      <c r="I68">
        <v>6358</v>
      </c>
      <c r="J68">
        <v>0</v>
      </c>
      <c r="K68">
        <v>6358</v>
      </c>
      <c r="L68">
        <v>0</v>
      </c>
      <c r="M68">
        <v>6358</v>
      </c>
      <c r="N68">
        <v>0</v>
      </c>
      <c r="O68">
        <v>6358</v>
      </c>
      <c r="P68">
        <v>0</v>
      </c>
      <c r="Q68">
        <v>6358</v>
      </c>
      <c r="R68">
        <v>0</v>
      </c>
      <c r="T68">
        <v>6358</v>
      </c>
      <c r="U68">
        <f>AVERAGE(B68,D68,F68)</f>
        <v>0</v>
      </c>
      <c r="V68">
        <f>AVERAGE(H68,J68,L68)</f>
        <v>0</v>
      </c>
      <c r="W68">
        <f>AVERAGE(N68,P68,R68)</f>
        <v>0</v>
      </c>
    </row>
    <row r="69" spans="1:23">
      <c r="A69">
        <v>7394</v>
      </c>
      <c r="B69">
        <v>0</v>
      </c>
      <c r="C69">
        <v>7394</v>
      </c>
      <c r="D69">
        <v>0</v>
      </c>
      <c r="E69">
        <v>7394</v>
      </c>
      <c r="F69">
        <v>0</v>
      </c>
      <c r="G69">
        <v>7394</v>
      </c>
      <c r="H69">
        <v>0</v>
      </c>
      <c r="I69">
        <v>7394</v>
      </c>
      <c r="J69">
        <v>0</v>
      </c>
      <c r="K69">
        <v>7394</v>
      </c>
      <c r="L69">
        <v>0</v>
      </c>
      <c r="M69">
        <v>7394</v>
      </c>
      <c r="N69">
        <v>0</v>
      </c>
      <c r="O69">
        <v>7394</v>
      </c>
      <c r="P69">
        <v>0</v>
      </c>
      <c r="Q69">
        <v>7394</v>
      </c>
      <c r="R69">
        <v>0</v>
      </c>
      <c r="T69">
        <v>7394</v>
      </c>
      <c r="U69">
        <f>AVERAGE(B69,D69,F69)</f>
        <v>0</v>
      </c>
      <c r="V69">
        <f>AVERAGE(H69,J69,L69)</f>
        <v>0</v>
      </c>
      <c r="W69">
        <f>AVERAGE(N69,P69,R69)</f>
        <v>0</v>
      </c>
    </row>
    <row r="70" spans="1:23">
      <c r="A70">
        <v>8599</v>
      </c>
      <c r="B70">
        <v>0</v>
      </c>
      <c r="C70">
        <v>8599</v>
      </c>
      <c r="D70">
        <v>0</v>
      </c>
      <c r="E70">
        <v>8599</v>
      </c>
      <c r="F70">
        <v>0</v>
      </c>
      <c r="G70">
        <v>8599</v>
      </c>
      <c r="H70">
        <v>0</v>
      </c>
      <c r="I70">
        <v>8599</v>
      </c>
      <c r="J70">
        <v>0</v>
      </c>
      <c r="K70">
        <v>8599</v>
      </c>
      <c r="L70">
        <v>0</v>
      </c>
      <c r="M70">
        <v>8599</v>
      </c>
      <c r="N70">
        <v>0</v>
      </c>
      <c r="O70">
        <v>8599</v>
      </c>
      <c r="P70">
        <v>0</v>
      </c>
      <c r="Q70">
        <v>8599</v>
      </c>
      <c r="R70">
        <v>0</v>
      </c>
      <c r="T70">
        <v>8599</v>
      </c>
      <c r="U70">
        <f>AVERAGE(B70,D70,F70)</f>
        <v>0</v>
      </c>
      <c r="V70">
        <f>AVERAGE(H70,J70,L70)</f>
        <v>0</v>
      </c>
      <c r="W70">
        <f>AVERAGE(N70,P70,R70)</f>
        <v>0</v>
      </c>
    </row>
    <row r="71" spans="1:23">
      <c r="A71" s="1">
        <v>10000</v>
      </c>
      <c r="B71">
        <v>0</v>
      </c>
      <c r="C71" s="1">
        <v>10000</v>
      </c>
      <c r="D71">
        <v>0</v>
      </c>
      <c r="E71" s="1">
        <v>10000</v>
      </c>
      <c r="F71">
        <v>0</v>
      </c>
      <c r="G71" s="1">
        <v>10000</v>
      </c>
      <c r="H71">
        <v>0</v>
      </c>
      <c r="I71" s="1">
        <v>10000</v>
      </c>
      <c r="J71">
        <v>0</v>
      </c>
      <c r="K71" s="1">
        <v>10000</v>
      </c>
      <c r="L71">
        <v>0</v>
      </c>
      <c r="M71" s="1">
        <v>10000</v>
      </c>
      <c r="N71">
        <v>0</v>
      </c>
      <c r="O71" s="1">
        <v>10000</v>
      </c>
      <c r="P71">
        <v>0</v>
      </c>
      <c r="Q71" s="1">
        <v>10000</v>
      </c>
      <c r="R71">
        <v>0</v>
      </c>
      <c r="T71">
        <v>10000</v>
      </c>
      <c r="U71">
        <f>AVERAGE(B71,D71,F71)</f>
        <v>0</v>
      </c>
      <c r="V71">
        <f>AVERAGE(H71,J71,L71)</f>
        <v>0</v>
      </c>
      <c r="W71">
        <f>AVERAGE(N71,P71,R71)</f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E8154-1735-4379-B3E5-46135B9E2F9C}">
  <dimension ref="A1:M151"/>
  <sheetViews>
    <sheetView workbookViewId="0">
      <selection activeCell="M10" sqref="M10"/>
    </sheetView>
  </sheetViews>
  <sheetFormatPr defaultRowHeight="15.75"/>
  <cols>
    <col min="1" max="1" width="57.5546875" bestFit="1" customWidth="1"/>
    <col min="2" max="2" width="9.109375" bestFit="1" customWidth="1"/>
    <col min="19" max="19" width="57.5546875" bestFit="1" customWidth="1"/>
    <col min="20" max="20" width="7.6640625" bestFit="1" customWidth="1"/>
    <col min="21" max="21" width="16.6640625" bestFit="1" customWidth="1"/>
    <col min="22" max="22" width="43.6640625" bestFit="1" customWidth="1"/>
    <col min="23" max="23" width="8.6640625" bestFit="1" customWidth="1"/>
    <col min="24" max="24" width="9" bestFit="1" customWidth="1"/>
  </cols>
  <sheetData>
    <row r="1" spans="1:13">
      <c r="A1" t="s">
        <v>6</v>
      </c>
      <c r="H1" t="s">
        <v>63</v>
      </c>
      <c r="M1" t="s">
        <v>64</v>
      </c>
    </row>
    <row r="2" spans="1:13">
      <c r="A2" t="s">
        <v>65</v>
      </c>
      <c r="B2" t="s">
        <v>46</v>
      </c>
      <c r="C2" t="s">
        <v>66</v>
      </c>
      <c r="D2" t="s">
        <v>67</v>
      </c>
      <c r="E2" t="s">
        <v>68</v>
      </c>
      <c r="F2" t="s">
        <v>69</v>
      </c>
      <c r="H2" t="s">
        <v>70</v>
      </c>
      <c r="I2" s="1">
        <v>213200000</v>
      </c>
      <c r="J2" s="1">
        <v>282900000</v>
      </c>
      <c r="K2" s="1">
        <v>281000000</v>
      </c>
    </row>
    <row r="3" spans="1:13">
      <c r="A3" t="s">
        <v>71</v>
      </c>
      <c r="B3" s="1">
        <v>259000000</v>
      </c>
      <c r="C3" s="1">
        <v>39660000</v>
      </c>
      <c r="D3">
        <v>15.31</v>
      </c>
      <c r="E3" s="1">
        <v>213200000</v>
      </c>
      <c r="F3" s="1">
        <v>282900000</v>
      </c>
      <c r="H3" t="s">
        <v>72</v>
      </c>
      <c r="I3" s="1">
        <f>'[1]0.5R1'!$R$27</f>
        <v>250000000</v>
      </c>
      <c r="J3" s="1">
        <f>'[1]0.5R1'!$T$27</f>
        <v>275000000</v>
      </c>
      <c r="K3" s="1">
        <f>'[1]0.5R1'!$V$27</f>
        <v>257000000</v>
      </c>
    </row>
    <row r="4" spans="1:13">
      <c r="A4" t="s">
        <v>73</v>
      </c>
      <c r="B4" s="1">
        <v>229200000</v>
      </c>
      <c r="C4" s="1">
        <v>47560000</v>
      </c>
      <c r="D4">
        <v>20.75</v>
      </c>
      <c r="E4" s="1">
        <v>192200000</v>
      </c>
      <c r="F4" s="1">
        <v>282900000</v>
      </c>
      <c r="H4" t="s">
        <v>74</v>
      </c>
    </row>
    <row r="5" spans="1:13">
      <c r="A5" t="s">
        <v>75</v>
      </c>
      <c r="B5" s="1">
        <v>44730000</v>
      </c>
      <c r="C5" s="1">
        <v>33560000</v>
      </c>
      <c r="D5">
        <v>75.02</v>
      </c>
      <c r="E5" s="1">
        <v>21000000</v>
      </c>
      <c r="F5" s="1">
        <v>68460000</v>
      </c>
      <c r="H5" t="s">
        <v>76</v>
      </c>
      <c r="I5" s="1">
        <v>140800000</v>
      </c>
      <c r="J5" s="1">
        <v>99760000</v>
      </c>
      <c r="K5" s="1">
        <v>109000000</v>
      </c>
    </row>
    <row r="6" spans="1:13">
      <c r="A6" t="s">
        <v>77</v>
      </c>
      <c r="B6">
        <v>204.7</v>
      </c>
      <c r="C6">
        <v>16.12</v>
      </c>
      <c r="D6">
        <v>7.8739999999999997</v>
      </c>
      <c r="E6">
        <v>186.1</v>
      </c>
      <c r="F6">
        <v>214</v>
      </c>
      <c r="H6" t="s">
        <v>78</v>
      </c>
      <c r="I6" s="1">
        <f>'[1]0.5R2'!$R$27</f>
        <v>100000000</v>
      </c>
      <c r="J6" s="1">
        <f>'[1]0.5R2'!$T$27</f>
        <v>95200000</v>
      </c>
      <c r="K6" s="1">
        <f>'[1]0.5R2'!$V$27</f>
        <v>99200000</v>
      </c>
    </row>
    <row r="7" spans="1:13">
      <c r="A7" t="s">
        <v>79</v>
      </c>
      <c r="B7">
        <v>387.9</v>
      </c>
      <c r="C7">
        <v>19.170000000000002</v>
      </c>
      <c r="D7">
        <v>4.9400000000000004</v>
      </c>
      <c r="E7">
        <v>374.4</v>
      </c>
      <c r="F7">
        <v>401.5</v>
      </c>
      <c r="H7" t="s">
        <v>74</v>
      </c>
    </row>
    <row r="8" spans="1:13">
      <c r="H8" t="s">
        <v>80</v>
      </c>
      <c r="I8" s="1">
        <v>84190000</v>
      </c>
      <c r="J8" s="1">
        <v>57240000</v>
      </c>
      <c r="K8" s="1">
        <v>52950000</v>
      </c>
    </row>
    <row r="9" spans="1:13">
      <c r="A9" t="s">
        <v>7</v>
      </c>
      <c r="H9" t="s">
        <v>81</v>
      </c>
      <c r="I9" s="1">
        <f>'[1]0.5R3'!$R$27</f>
        <v>65500000</v>
      </c>
      <c r="J9" s="1">
        <f>'[1]0.5R3'!$T$27</f>
        <v>77100000</v>
      </c>
      <c r="K9" s="1">
        <f>'[1]0.5R3'!$V$27</f>
        <v>79700000</v>
      </c>
    </row>
    <row r="10" spans="1:13">
      <c r="A10" t="s">
        <v>71</v>
      </c>
      <c r="B10" s="1">
        <v>116500000</v>
      </c>
      <c r="C10" s="1">
        <v>21500000</v>
      </c>
      <c r="D10">
        <v>18.46</v>
      </c>
      <c r="E10" s="1">
        <v>99760000</v>
      </c>
      <c r="F10" s="1">
        <v>140800000</v>
      </c>
    </row>
    <row r="11" spans="1:13">
      <c r="A11" t="s">
        <v>73</v>
      </c>
      <c r="B11" s="1">
        <v>101700000</v>
      </c>
      <c r="C11" s="1">
        <v>19880000</v>
      </c>
      <c r="D11">
        <v>19.54</v>
      </c>
      <c r="E11" s="1">
        <v>82520000</v>
      </c>
      <c r="F11" s="1">
        <v>1222000</v>
      </c>
      <c r="I11">
        <v>0</v>
      </c>
      <c r="J11">
        <v>0</v>
      </c>
      <c r="K11">
        <v>0</v>
      </c>
    </row>
    <row r="12" spans="1:13">
      <c r="A12" t="s">
        <v>75</v>
      </c>
      <c r="B12" s="1">
        <v>14760000</v>
      </c>
      <c r="C12" s="1">
        <v>5457000</v>
      </c>
      <c r="D12">
        <v>36.96</v>
      </c>
      <c r="E12" s="1">
        <v>8506000</v>
      </c>
      <c r="F12" s="1">
        <v>18540000</v>
      </c>
      <c r="H12" t="s">
        <v>19</v>
      </c>
      <c r="I12" s="1">
        <f>'[1]0.5R1'!$R$32</f>
        <v>19000000</v>
      </c>
      <c r="J12" s="1">
        <f>'[1]0.5R1'!$T$32</f>
        <v>20300000</v>
      </c>
      <c r="K12" s="1">
        <f>'[1]0.5R1'!$V$32</f>
        <v>15000000</v>
      </c>
    </row>
    <row r="13" spans="1:13">
      <c r="A13" t="s">
        <v>77</v>
      </c>
      <c r="B13" s="1">
        <v>162.1</v>
      </c>
      <c r="C13" s="1">
        <v>11.32</v>
      </c>
      <c r="D13">
        <v>6.9850000000000003</v>
      </c>
      <c r="E13" s="1">
        <v>150.9</v>
      </c>
      <c r="F13" s="1">
        <v>173.5</v>
      </c>
      <c r="I13">
        <v>0</v>
      </c>
      <c r="J13">
        <v>0</v>
      </c>
      <c r="K13">
        <v>0</v>
      </c>
    </row>
    <row r="14" spans="1:13">
      <c r="A14" t="s">
        <v>79</v>
      </c>
      <c r="B14" s="1">
        <v>413.8</v>
      </c>
      <c r="C14" s="1">
        <v>58.15</v>
      </c>
      <c r="D14">
        <v>14.05</v>
      </c>
      <c r="E14" s="1">
        <v>349.1</v>
      </c>
      <c r="F14" s="1">
        <v>461.7</v>
      </c>
      <c r="I14">
        <v>0</v>
      </c>
      <c r="J14">
        <v>0</v>
      </c>
      <c r="K14">
        <v>0</v>
      </c>
    </row>
    <row r="15" spans="1:13">
      <c r="I15" s="1">
        <f>'[1]0.5R2'!$R$32</f>
        <v>11700000</v>
      </c>
      <c r="J15" s="1">
        <f>'[1]0.5R2'!$T$32</f>
        <v>19200000</v>
      </c>
      <c r="K15" s="1">
        <f>'[1]0.5R2'!$V$32</f>
        <v>14800000</v>
      </c>
    </row>
    <row r="16" spans="1:13">
      <c r="A16" t="s">
        <v>8</v>
      </c>
      <c r="I16">
        <v>0</v>
      </c>
      <c r="J16">
        <v>0</v>
      </c>
      <c r="K16">
        <v>0</v>
      </c>
    </row>
    <row r="17" spans="1:11">
      <c r="A17" t="s">
        <v>71</v>
      </c>
      <c r="B17" s="1">
        <v>64790000</v>
      </c>
      <c r="C17" s="1">
        <v>16930000</v>
      </c>
      <c r="I17">
        <v>0</v>
      </c>
      <c r="J17">
        <v>0</v>
      </c>
      <c r="K17">
        <v>0</v>
      </c>
    </row>
    <row r="18" spans="1:11">
      <c r="A18" t="s">
        <v>73</v>
      </c>
      <c r="I18" s="1">
        <f>'[1]0.5R3'!$R$32</f>
        <v>15300000</v>
      </c>
      <c r="J18" s="1">
        <f>'[1]0.5R3'!$T$32</f>
        <v>6420000</v>
      </c>
      <c r="K18" s="1">
        <f>'[1]0.5R3'!$V$32</f>
        <v>3270000</v>
      </c>
    </row>
    <row r="19" spans="1:11">
      <c r="A19" t="s">
        <v>75</v>
      </c>
    </row>
    <row r="20" spans="1:11">
      <c r="A20" t="s">
        <v>77</v>
      </c>
    </row>
    <row r="21" spans="1:11">
      <c r="A21" t="s">
        <v>79</v>
      </c>
    </row>
    <row r="94" spans="2:6">
      <c r="F94" s="1"/>
    </row>
    <row r="95" spans="2:6">
      <c r="F95" s="1"/>
    </row>
    <row r="96" spans="2:6">
      <c r="B96" s="1"/>
      <c r="D96" s="1"/>
      <c r="F96" s="1"/>
    </row>
    <row r="97" spans="2:6">
      <c r="B97" s="1"/>
      <c r="D97" s="1"/>
      <c r="F97" s="1"/>
    </row>
    <row r="98" spans="2:6">
      <c r="B98" s="1"/>
      <c r="D98" s="1"/>
      <c r="F98" s="1"/>
    </row>
    <row r="99" spans="2:6">
      <c r="B99" s="1"/>
      <c r="D99" s="1"/>
      <c r="F99" s="1"/>
    </row>
    <row r="100" spans="2:6">
      <c r="B100" s="1"/>
      <c r="D100" s="1"/>
      <c r="F100" s="1"/>
    </row>
    <row r="101" spans="2:6">
      <c r="B101" s="1"/>
      <c r="D101" s="1"/>
      <c r="F101" s="1"/>
    </row>
    <row r="102" spans="2:6">
      <c r="B102" s="1"/>
      <c r="D102" s="1"/>
      <c r="F102" s="1"/>
    </row>
    <row r="103" spans="2:6">
      <c r="B103" s="1"/>
      <c r="D103" s="1"/>
      <c r="F103" s="1"/>
    </row>
    <row r="104" spans="2:6">
      <c r="B104" s="1"/>
      <c r="D104" s="1"/>
      <c r="F104" s="1"/>
    </row>
    <row r="105" spans="2:6">
      <c r="B105" s="1"/>
      <c r="D105" s="1"/>
      <c r="F105" s="1"/>
    </row>
    <row r="106" spans="2:6">
      <c r="B106" s="1"/>
      <c r="D106" s="1"/>
      <c r="F106" s="1"/>
    </row>
    <row r="107" spans="2:6">
      <c r="B107" s="1"/>
      <c r="D107" s="1"/>
      <c r="F107" s="1"/>
    </row>
    <row r="108" spans="2:6">
      <c r="B108" s="1"/>
      <c r="D108" s="1"/>
      <c r="F108" s="1"/>
    </row>
    <row r="109" spans="2:6">
      <c r="B109" s="1"/>
      <c r="D109" s="1"/>
      <c r="F109" s="1"/>
    </row>
    <row r="110" spans="2:6">
      <c r="B110" s="1"/>
      <c r="D110" s="1"/>
      <c r="F110" s="1"/>
    </row>
    <row r="111" spans="2:6">
      <c r="B111" s="1"/>
      <c r="D111" s="1"/>
      <c r="F111" s="1"/>
    </row>
    <row r="112" spans="2:6">
      <c r="B112" s="1"/>
      <c r="D112" s="1"/>
      <c r="F112" s="1"/>
    </row>
    <row r="113" spans="2:6">
      <c r="B113" s="1"/>
      <c r="D113" s="1"/>
      <c r="F113" s="1"/>
    </row>
    <row r="114" spans="2:6">
      <c r="B114" s="1"/>
      <c r="D114" s="1"/>
      <c r="F114" s="1"/>
    </row>
    <row r="115" spans="2:6">
      <c r="B115" s="1"/>
      <c r="D115" s="1"/>
      <c r="F115" s="1"/>
    </row>
    <row r="116" spans="2:6">
      <c r="B116" s="1"/>
      <c r="D116" s="1"/>
      <c r="F116" s="1"/>
    </row>
    <row r="117" spans="2:6">
      <c r="B117" s="1"/>
      <c r="D117" s="1"/>
      <c r="F117" s="1"/>
    </row>
    <row r="118" spans="2:6">
      <c r="B118" s="1"/>
      <c r="D118" s="1"/>
      <c r="F118" s="1"/>
    </row>
    <row r="119" spans="2:6">
      <c r="B119" s="1"/>
      <c r="D119" s="1"/>
      <c r="F119" s="1"/>
    </row>
    <row r="120" spans="2:6">
      <c r="B120" s="1"/>
      <c r="D120" s="1"/>
      <c r="F120" s="1"/>
    </row>
    <row r="121" spans="2:6">
      <c r="B121" s="1"/>
      <c r="D121" s="1"/>
      <c r="F121" s="1"/>
    </row>
    <row r="122" spans="2:6">
      <c r="B122" s="1"/>
      <c r="D122" s="1"/>
      <c r="F122" s="1"/>
    </row>
    <row r="123" spans="2:6">
      <c r="B123" s="1"/>
      <c r="D123" s="1"/>
      <c r="F123" s="1"/>
    </row>
    <row r="124" spans="2:6">
      <c r="B124" s="1"/>
      <c r="D124" s="1"/>
      <c r="F124" s="1"/>
    </row>
    <row r="125" spans="2:6">
      <c r="B125" s="1"/>
      <c r="D125" s="1"/>
      <c r="F125" s="1"/>
    </row>
    <row r="126" spans="2:6">
      <c r="B126" s="1"/>
      <c r="D126" s="1"/>
      <c r="F126" s="1"/>
    </row>
    <row r="127" spans="2:6">
      <c r="B127" s="1"/>
      <c r="D127" s="1"/>
      <c r="F127" s="1"/>
    </row>
    <row r="128" spans="2:6">
      <c r="B128" s="1"/>
      <c r="D128" s="1"/>
      <c r="F128" s="1"/>
    </row>
    <row r="129" spans="2:6">
      <c r="B129" s="1"/>
      <c r="D129" s="1"/>
      <c r="F129" s="1"/>
    </row>
    <row r="130" spans="2:6">
      <c r="B130" s="1"/>
      <c r="D130" s="1"/>
      <c r="F130" s="1"/>
    </row>
    <row r="131" spans="2:6">
      <c r="B131" s="1"/>
      <c r="D131" s="1"/>
      <c r="F131" s="1"/>
    </row>
    <row r="132" spans="2:6">
      <c r="B132" s="1"/>
      <c r="D132" s="1"/>
      <c r="F132" s="1"/>
    </row>
    <row r="133" spans="2:6">
      <c r="B133" s="1"/>
      <c r="D133" s="1"/>
      <c r="F133" s="1"/>
    </row>
    <row r="134" spans="2:6">
      <c r="B134" s="1"/>
      <c r="D134" s="1"/>
      <c r="F134" s="1"/>
    </row>
    <row r="135" spans="2:6">
      <c r="B135" s="1"/>
      <c r="D135" s="1"/>
      <c r="F135" s="1"/>
    </row>
    <row r="136" spans="2:6">
      <c r="B136" s="1"/>
      <c r="D136" s="1"/>
      <c r="F136" s="1"/>
    </row>
    <row r="137" spans="2:6">
      <c r="B137" s="1"/>
      <c r="D137" s="1"/>
      <c r="F137" s="1"/>
    </row>
    <row r="138" spans="2:6">
      <c r="B138" s="1"/>
      <c r="D138" s="1"/>
      <c r="F138" s="1"/>
    </row>
    <row r="139" spans="2:6">
      <c r="B139" s="1"/>
      <c r="D139" s="1"/>
      <c r="F139" s="1"/>
    </row>
    <row r="140" spans="2:6">
      <c r="B140" s="1"/>
      <c r="D140" s="1"/>
      <c r="F140" s="1"/>
    </row>
    <row r="141" spans="2:6">
      <c r="B141" s="1"/>
      <c r="D141" s="1"/>
      <c r="F141" s="1"/>
    </row>
    <row r="142" spans="2:6">
      <c r="B142" s="1"/>
      <c r="D142" s="1"/>
      <c r="F142" s="1"/>
    </row>
    <row r="143" spans="2:6">
      <c r="B143" s="1"/>
      <c r="D143" s="1"/>
      <c r="F143" s="1"/>
    </row>
    <row r="144" spans="2:6">
      <c r="B144" s="1"/>
      <c r="D144" s="1"/>
      <c r="F144" s="1"/>
    </row>
    <row r="145" spans="1:6">
      <c r="B145" s="1"/>
      <c r="D145" s="1"/>
      <c r="F145" s="1"/>
    </row>
    <row r="146" spans="1:6">
      <c r="B146" s="1"/>
      <c r="D146" s="1"/>
      <c r="F146" s="1"/>
    </row>
    <row r="147" spans="1:6">
      <c r="B147" s="1"/>
      <c r="D147" s="1"/>
      <c r="F147" s="1"/>
    </row>
    <row r="148" spans="1:6">
      <c r="B148" s="1"/>
      <c r="D148" s="1"/>
      <c r="F148" s="1"/>
    </row>
    <row r="149" spans="1:6">
      <c r="B149" s="1"/>
      <c r="D149" s="1"/>
      <c r="F149" s="1"/>
    </row>
    <row r="150" spans="1:6">
      <c r="B150" s="1"/>
      <c r="D150" s="1"/>
      <c r="F150" s="1"/>
    </row>
    <row r="151" spans="1:6">
      <c r="A151" s="1"/>
      <c r="B151" s="1"/>
      <c r="C151" s="1"/>
      <c r="D151" s="1"/>
      <c r="E151" s="1"/>
      <c r="F151" s="1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30FD6-7EDD-46F6-80C0-6B7923E7CC33}">
  <dimension ref="A1:K42"/>
  <sheetViews>
    <sheetView topLeftCell="A4" workbookViewId="0">
      <selection activeCell="A2" sqref="A2"/>
    </sheetView>
  </sheetViews>
  <sheetFormatPr defaultRowHeight="15.75"/>
  <cols>
    <col min="1" max="1" width="56.5546875" bestFit="1" customWidth="1"/>
    <col min="2" max="2" width="16.88671875" bestFit="1" customWidth="1"/>
    <col min="3" max="3" width="16.6640625" bestFit="1" customWidth="1"/>
    <col min="4" max="5" width="8.6640625" bestFit="1" customWidth="1"/>
    <col min="6" max="6" width="9" bestFit="1" customWidth="1"/>
  </cols>
  <sheetData>
    <row r="1" spans="1:11">
      <c r="A1" t="s">
        <v>82</v>
      </c>
      <c r="H1" t="s">
        <v>63</v>
      </c>
    </row>
    <row r="2" spans="1:11">
      <c r="A2" t="s">
        <v>65</v>
      </c>
      <c r="B2" t="s">
        <v>46</v>
      </c>
      <c r="C2" t="s">
        <v>66</v>
      </c>
      <c r="D2" t="s">
        <v>67</v>
      </c>
      <c r="E2" t="s">
        <v>68</v>
      </c>
      <c r="F2" t="s">
        <v>69</v>
      </c>
      <c r="H2" t="s">
        <v>70</v>
      </c>
      <c r="I2" s="1">
        <f>D25</f>
        <v>164100000</v>
      </c>
      <c r="J2" s="1">
        <f>D26</f>
        <v>124300000</v>
      </c>
      <c r="K2" s="1">
        <f>D27</f>
        <v>135500000</v>
      </c>
    </row>
    <row r="3" spans="1:11">
      <c r="A3" t="s">
        <v>83</v>
      </c>
      <c r="B3" s="1">
        <v>141300000</v>
      </c>
      <c r="C3" s="1">
        <v>20520000</v>
      </c>
      <c r="D3">
        <v>14.52</v>
      </c>
      <c r="E3" s="1">
        <v>124300000</v>
      </c>
      <c r="F3" s="1">
        <v>164000000</v>
      </c>
      <c r="H3" t="s">
        <v>72</v>
      </c>
      <c r="I3" s="1">
        <f>E25</f>
        <v>113000000</v>
      </c>
      <c r="J3" s="1">
        <f>E26</f>
        <v>136000000</v>
      </c>
      <c r="K3" s="1">
        <f>E27</f>
        <v>129000000</v>
      </c>
    </row>
    <row r="4" spans="1:11">
      <c r="A4" t="s">
        <v>84</v>
      </c>
      <c r="B4" s="1">
        <v>88470000</v>
      </c>
      <c r="C4" s="1">
        <v>9443000</v>
      </c>
      <c r="D4">
        <v>10.67</v>
      </c>
      <c r="E4" s="1">
        <v>77560000</v>
      </c>
      <c r="F4" s="1">
        <v>94000000</v>
      </c>
    </row>
    <row r="5" spans="1:11">
      <c r="A5" t="s">
        <v>75</v>
      </c>
      <c r="B5" s="1">
        <v>52850000</v>
      </c>
      <c r="C5" s="1">
        <v>15160000</v>
      </c>
      <c r="D5">
        <v>28.69</v>
      </c>
      <c r="E5" s="1">
        <v>41690000</v>
      </c>
      <c r="F5" s="1">
        <v>70110000</v>
      </c>
      <c r="H5" t="s">
        <v>76</v>
      </c>
      <c r="I5" s="1">
        <f>D28</f>
        <v>197600000</v>
      </c>
      <c r="J5" s="1">
        <f>D29</f>
        <v>190100000</v>
      </c>
      <c r="K5" s="1">
        <f>D30</f>
        <v>205900000</v>
      </c>
    </row>
    <row r="6" spans="1:11">
      <c r="A6" t="s">
        <v>77</v>
      </c>
      <c r="B6">
        <v>195.4</v>
      </c>
      <c r="C6">
        <v>16.12</v>
      </c>
      <c r="D6">
        <v>8.25</v>
      </c>
      <c r="E6">
        <v>186.1</v>
      </c>
      <c r="F6">
        <v>214</v>
      </c>
      <c r="H6" t="s">
        <v>78</v>
      </c>
      <c r="I6" s="1">
        <f>E28</f>
        <v>180000000</v>
      </c>
      <c r="J6" s="1">
        <f>E29</f>
        <v>209000000</v>
      </c>
      <c r="K6" s="1">
        <f>E30</f>
        <v>221000000</v>
      </c>
    </row>
    <row r="7" spans="1:11">
      <c r="A7" t="s">
        <v>79</v>
      </c>
      <c r="B7">
        <v>384</v>
      </c>
      <c r="C7">
        <v>30.24</v>
      </c>
      <c r="D7">
        <v>7.8739999999999997</v>
      </c>
      <c r="E7">
        <v>349.1</v>
      </c>
      <c r="F7">
        <v>401.5</v>
      </c>
      <c r="H7" t="s">
        <v>74</v>
      </c>
    </row>
    <row r="8" spans="1:11">
      <c r="H8" t="s">
        <v>80</v>
      </c>
      <c r="I8" s="1">
        <f>D31</f>
        <v>49460000</v>
      </c>
      <c r="J8" s="1">
        <f>D32</f>
        <v>125500000</v>
      </c>
      <c r="K8" s="1">
        <f>D33</f>
        <v>94710000</v>
      </c>
    </row>
    <row r="9" spans="1:11">
      <c r="A9" t="s">
        <v>85</v>
      </c>
      <c r="H9" t="s">
        <v>81</v>
      </c>
      <c r="I9" s="1">
        <f>E31</f>
        <v>72400000</v>
      </c>
      <c r="J9" s="1">
        <f>E32</f>
        <v>59700000</v>
      </c>
      <c r="K9" s="1">
        <f>E33</f>
        <v>56900000</v>
      </c>
    </row>
    <row r="10" spans="1:11">
      <c r="A10" t="s">
        <v>83</v>
      </c>
      <c r="B10" s="1">
        <v>197900000</v>
      </c>
      <c r="C10" s="1">
        <v>7906000</v>
      </c>
    </row>
    <row r="11" spans="1:11">
      <c r="A11" t="s">
        <v>84</v>
      </c>
      <c r="H11" t="s">
        <v>19</v>
      </c>
      <c r="I11">
        <v>0</v>
      </c>
      <c r="J11">
        <v>0</v>
      </c>
      <c r="K11">
        <v>0</v>
      </c>
    </row>
    <row r="12" spans="1:11">
      <c r="A12" t="s">
        <v>75</v>
      </c>
      <c r="I12" s="1">
        <f>'[1]1R1'!$R$32</f>
        <v>16600000</v>
      </c>
      <c r="J12" s="1">
        <f>'[1]1R1'!$T$32</f>
        <v>11100000</v>
      </c>
      <c r="K12" s="1">
        <f>'[1]1R1'!$V$32</f>
        <v>11500000</v>
      </c>
    </row>
    <row r="13" spans="1:11">
      <c r="A13" t="s">
        <v>77</v>
      </c>
      <c r="I13">
        <v>0</v>
      </c>
      <c r="J13">
        <v>0</v>
      </c>
      <c r="K13">
        <v>0</v>
      </c>
    </row>
    <row r="14" spans="1:11">
      <c r="A14" t="s">
        <v>79</v>
      </c>
      <c r="I14">
        <v>0</v>
      </c>
      <c r="J14">
        <v>0</v>
      </c>
      <c r="K14">
        <v>0</v>
      </c>
    </row>
    <row r="15" spans="1:11">
      <c r="I15" s="1">
        <f>'[1]1R2'!$R$32</f>
        <v>10300000</v>
      </c>
      <c r="J15" s="1">
        <f>'[1]1R2'!$T$32</f>
        <v>21000000</v>
      </c>
      <c r="K15" s="1">
        <f>'[1]1R2'!$V$32</f>
        <v>25800000</v>
      </c>
    </row>
    <row r="16" spans="1:11">
      <c r="A16" t="s">
        <v>86</v>
      </c>
      <c r="B16" s="1">
        <v>81950000</v>
      </c>
      <c r="C16" s="1">
        <v>10010000</v>
      </c>
      <c r="I16">
        <v>0</v>
      </c>
      <c r="J16">
        <v>0</v>
      </c>
      <c r="K16">
        <v>0</v>
      </c>
    </row>
    <row r="17" spans="1:11">
      <c r="A17" t="s">
        <v>83</v>
      </c>
      <c r="I17">
        <v>0</v>
      </c>
      <c r="J17">
        <v>0</v>
      </c>
      <c r="K17">
        <v>0</v>
      </c>
    </row>
    <row r="18" spans="1:11">
      <c r="A18" t="s">
        <v>84</v>
      </c>
      <c r="I18" s="1">
        <f>'[1]1R3'!$R$32</f>
        <v>10000000</v>
      </c>
      <c r="J18" s="1">
        <f>'[1]1R3'!$T$32</f>
        <v>8690000</v>
      </c>
      <c r="K18" s="1">
        <f>'[1]1R3'!$V$32</f>
        <v>4140000</v>
      </c>
    </row>
    <row r="19" spans="1:11">
      <c r="A19" t="s">
        <v>75</v>
      </c>
    </row>
    <row r="20" spans="1:11">
      <c r="A20" t="s">
        <v>77</v>
      </c>
    </row>
    <row r="21" spans="1:11">
      <c r="A21" t="s">
        <v>79</v>
      </c>
    </row>
    <row r="24" spans="1:11">
      <c r="C24" t="s">
        <v>63</v>
      </c>
      <c r="D24" t="s">
        <v>25</v>
      </c>
      <c r="E24" t="s">
        <v>24</v>
      </c>
    </row>
    <row r="25" spans="1:11">
      <c r="C25" t="s">
        <v>82</v>
      </c>
      <c r="D25" s="1">
        <v>164100000</v>
      </c>
      <c r="E25" s="1">
        <f>'[1]1R1'!$R$27</f>
        <v>113000000</v>
      </c>
    </row>
    <row r="26" spans="1:11">
      <c r="C26" t="s">
        <v>82</v>
      </c>
      <c r="D26" s="1">
        <v>124300000</v>
      </c>
      <c r="E26" s="1">
        <f>'[1]1R1'!$T$27</f>
        <v>136000000</v>
      </c>
    </row>
    <row r="27" spans="1:11">
      <c r="C27" t="s">
        <v>82</v>
      </c>
      <c r="D27" s="1">
        <v>135500000</v>
      </c>
      <c r="E27" s="1">
        <f>'[1]1R1'!$V$27</f>
        <v>129000000</v>
      </c>
    </row>
    <row r="28" spans="1:11">
      <c r="C28" t="s">
        <v>85</v>
      </c>
      <c r="D28" s="1">
        <v>197600000</v>
      </c>
      <c r="E28" s="1">
        <f>'[1]1R2'!$R$27</f>
        <v>180000000</v>
      </c>
    </row>
    <row r="29" spans="1:11">
      <c r="C29" t="s">
        <v>85</v>
      </c>
      <c r="D29" s="1">
        <v>190100000</v>
      </c>
      <c r="E29" s="1">
        <f>'[1]1R2'!$T$27</f>
        <v>209000000</v>
      </c>
    </row>
    <row r="30" spans="1:11">
      <c r="C30" t="s">
        <v>85</v>
      </c>
      <c r="D30" s="1">
        <v>205900000</v>
      </c>
      <c r="E30" s="1">
        <f>'[1]1R2'!$V$27</f>
        <v>221000000</v>
      </c>
    </row>
    <row r="31" spans="1:11">
      <c r="C31" t="s">
        <v>86</v>
      </c>
      <c r="D31" s="1">
        <v>49460000</v>
      </c>
      <c r="E31" s="1">
        <f>'[1]1R3'!$R$27</f>
        <v>72400000</v>
      </c>
    </row>
    <row r="32" spans="1:11">
      <c r="C32" t="s">
        <v>86</v>
      </c>
      <c r="D32" s="1">
        <v>125500000</v>
      </c>
      <c r="E32" s="1">
        <f>'[1]1R3'!$T$27</f>
        <v>59700000</v>
      </c>
    </row>
    <row r="33" spans="3:5">
      <c r="C33" t="s">
        <v>86</v>
      </c>
      <c r="D33" s="1">
        <v>94710000</v>
      </c>
      <c r="E33" s="1">
        <f>'[1]1R3'!$V$27</f>
        <v>56900000</v>
      </c>
    </row>
    <row r="34" spans="3:5">
      <c r="C34" t="s">
        <v>87</v>
      </c>
    </row>
    <row r="35" spans="3:5">
      <c r="C35" t="s">
        <v>87</v>
      </c>
    </row>
    <row r="36" spans="3:5">
      <c r="C36" t="s">
        <v>87</v>
      </c>
    </row>
    <row r="37" spans="3:5">
      <c r="C37" t="s">
        <v>88</v>
      </c>
    </row>
    <row r="38" spans="3:5">
      <c r="C38" t="s">
        <v>88</v>
      </c>
    </row>
    <row r="39" spans="3:5">
      <c r="C39" t="s">
        <v>88</v>
      </c>
    </row>
    <row r="40" spans="3:5">
      <c r="C40" t="s">
        <v>89</v>
      </c>
    </row>
    <row r="41" spans="3:5">
      <c r="C41" t="s">
        <v>89</v>
      </c>
    </row>
    <row r="42" spans="3:5">
      <c r="C42" t="s">
        <v>89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3D3D7C-DF6A-48EB-A496-3FC17D97E939}">
  <dimension ref="A1:O55"/>
  <sheetViews>
    <sheetView tabSelected="1" workbookViewId="0">
      <selection activeCell="N19" sqref="N19"/>
    </sheetView>
  </sheetViews>
  <sheetFormatPr defaultRowHeight="15.75"/>
  <cols>
    <col min="1" max="1" width="39.33203125" bestFit="1" customWidth="1"/>
  </cols>
  <sheetData>
    <row r="1" spans="1:11">
      <c r="A1" t="s">
        <v>90</v>
      </c>
    </row>
    <row r="2" spans="1:11">
      <c r="A2" t="s">
        <v>65</v>
      </c>
      <c r="B2" t="s">
        <v>46</v>
      </c>
      <c r="C2" t="s">
        <v>66</v>
      </c>
      <c r="D2" t="s">
        <v>67</v>
      </c>
      <c r="E2" t="s">
        <v>68</v>
      </c>
      <c r="F2" t="s">
        <v>69</v>
      </c>
      <c r="H2" t="s">
        <v>70</v>
      </c>
      <c r="I2" s="1">
        <f>E28</f>
        <v>138900000</v>
      </c>
      <c r="J2" s="1">
        <f>E29</f>
        <v>147300000</v>
      </c>
      <c r="K2" s="1">
        <f>E30</f>
        <v>173900000</v>
      </c>
    </row>
    <row r="3" spans="1:11">
      <c r="A3" t="s">
        <v>83</v>
      </c>
      <c r="B3" s="1">
        <v>153400000</v>
      </c>
      <c r="C3" s="1">
        <v>18230000</v>
      </c>
      <c r="H3" t="s">
        <v>72</v>
      </c>
      <c r="I3" s="1">
        <f>F28</f>
        <v>163000000</v>
      </c>
      <c r="J3" s="1">
        <f>F29</f>
        <v>158000000</v>
      </c>
      <c r="K3" s="1">
        <f>F30</f>
        <v>166000000</v>
      </c>
    </row>
    <row r="4" spans="1:11">
      <c r="A4" t="s">
        <v>84</v>
      </c>
      <c r="H4" t="s">
        <v>74</v>
      </c>
    </row>
    <row r="5" spans="1:11">
      <c r="A5" t="s">
        <v>75</v>
      </c>
      <c r="H5" t="s">
        <v>76</v>
      </c>
      <c r="I5" s="1">
        <f>E31</f>
        <v>123800000</v>
      </c>
      <c r="J5" s="1">
        <f>E32</f>
        <v>91560000</v>
      </c>
      <c r="K5" s="1">
        <f>E33</f>
        <v>129400000</v>
      </c>
    </row>
    <row r="6" spans="1:11">
      <c r="A6" t="s">
        <v>77</v>
      </c>
      <c r="H6" t="s">
        <v>78</v>
      </c>
      <c r="I6" s="1">
        <f>F31</f>
        <v>127000000</v>
      </c>
      <c r="J6" s="1">
        <f>F32</f>
        <v>120000000</v>
      </c>
      <c r="K6" s="1">
        <f>F33</f>
        <v>124000000</v>
      </c>
    </row>
    <row r="7" spans="1:11">
      <c r="A7" t="s">
        <v>79</v>
      </c>
      <c r="H7" t="s">
        <v>74</v>
      </c>
    </row>
    <row r="8" spans="1:11">
      <c r="H8" t="s">
        <v>80</v>
      </c>
      <c r="I8" s="1">
        <f>E34</f>
        <v>77740000</v>
      </c>
      <c r="J8" s="1">
        <f>E35</f>
        <v>68700000</v>
      </c>
      <c r="K8" s="1">
        <f>E36</f>
        <v>61810000</v>
      </c>
    </row>
    <row r="9" spans="1:11">
      <c r="A9" t="s">
        <v>91</v>
      </c>
      <c r="H9" t="s">
        <v>81</v>
      </c>
      <c r="I9" s="1">
        <f>F34</f>
        <v>71200000</v>
      </c>
      <c r="J9" s="1">
        <f>F35</f>
        <v>77800000</v>
      </c>
      <c r="K9" s="1">
        <f>F36</f>
        <v>70900000</v>
      </c>
    </row>
    <row r="10" spans="1:11">
      <c r="A10" t="s">
        <v>83</v>
      </c>
      <c r="B10" s="1">
        <v>114900000</v>
      </c>
      <c r="C10" s="1">
        <v>20400000</v>
      </c>
      <c r="E10" s="1"/>
      <c r="F10" s="1"/>
    </row>
    <row r="11" spans="1:11">
      <c r="A11" t="s">
        <v>84</v>
      </c>
      <c r="B11" s="1"/>
      <c r="C11" s="1"/>
      <c r="E11" s="1"/>
      <c r="F11" s="1"/>
      <c r="H11" t="s">
        <v>19</v>
      </c>
      <c r="I11">
        <v>0</v>
      </c>
      <c r="J11">
        <v>0</v>
      </c>
      <c r="K11">
        <v>0</v>
      </c>
    </row>
    <row r="12" spans="1:11">
      <c r="A12" t="s">
        <v>75</v>
      </c>
      <c r="B12" s="1"/>
      <c r="C12" s="1"/>
      <c r="E12" s="1"/>
      <c r="F12" s="1"/>
      <c r="I12" s="1">
        <f>'[1]3R1'!$R$32</f>
        <v>8270000</v>
      </c>
      <c r="J12" s="1">
        <f>'[1]3R1'!$T$32</f>
        <v>14400000</v>
      </c>
      <c r="K12" s="1">
        <f>'[1]3R1'!$V$32</f>
        <v>20800000</v>
      </c>
    </row>
    <row r="13" spans="1:11">
      <c r="A13" t="s">
        <v>77</v>
      </c>
      <c r="B13" s="1"/>
      <c r="C13" s="1"/>
      <c r="E13" s="1"/>
      <c r="F13" s="1"/>
      <c r="I13">
        <v>0</v>
      </c>
      <c r="J13">
        <v>0</v>
      </c>
      <c r="K13">
        <v>0</v>
      </c>
    </row>
    <row r="14" spans="1:11">
      <c r="A14" t="s">
        <v>79</v>
      </c>
      <c r="B14" s="1"/>
      <c r="C14" s="1"/>
      <c r="E14" s="1"/>
      <c r="F14" s="1"/>
      <c r="I14">
        <v>0</v>
      </c>
      <c r="J14">
        <v>0</v>
      </c>
      <c r="K14">
        <v>0</v>
      </c>
    </row>
    <row r="15" spans="1:11">
      <c r="I15" s="1">
        <f>'[1]3R2'!$R$32</f>
        <v>11700000</v>
      </c>
      <c r="J15" s="1">
        <f>'[1]3R2'!$T$32</f>
        <v>16100000</v>
      </c>
      <c r="K15" s="1">
        <f>'[1]3R2'!$V$32</f>
        <v>9860000</v>
      </c>
    </row>
    <row r="16" spans="1:11">
      <c r="A16" t="s">
        <v>92</v>
      </c>
      <c r="I16">
        <v>0</v>
      </c>
      <c r="J16">
        <v>0</v>
      </c>
      <c r="K16">
        <v>0</v>
      </c>
    </row>
    <row r="17" spans="1:15">
      <c r="A17" t="s">
        <v>83</v>
      </c>
      <c r="B17" s="1">
        <v>69420000</v>
      </c>
      <c r="C17" s="1">
        <v>7989000</v>
      </c>
      <c r="D17">
        <v>11.51</v>
      </c>
      <c r="E17" s="1">
        <v>61810000</v>
      </c>
      <c r="F17" s="1">
        <v>77740000</v>
      </c>
      <c r="I17">
        <v>0</v>
      </c>
      <c r="J17">
        <v>0</v>
      </c>
      <c r="K17">
        <v>0</v>
      </c>
    </row>
    <row r="18" spans="1:15">
      <c r="A18" t="s">
        <v>84</v>
      </c>
      <c r="B18" s="1">
        <v>64350000</v>
      </c>
      <c r="C18" s="1">
        <v>12630000</v>
      </c>
      <c r="D18">
        <v>19.63</v>
      </c>
      <c r="E18" s="1">
        <v>52640000</v>
      </c>
      <c r="F18" s="1">
        <v>77740000</v>
      </c>
      <c r="I18" s="1">
        <f>'[1]3R3'!$R$32</f>
        <v>12100000</v>
      </c>
      <c r="J18" s="1">
        <f>'[1]3R3'!$T$32</f>
        <v>6370000</v>
      </c>
      <c r="K18" s="1">
        <f>'[1]3R3'!$V$32</f>
        <v>24500000</v>
      </c>
    </row>
    <row r="19" spans="1:15">
      <c r="A19" t="s">
        <v>75</v>
      </c>
      <c r="B19" s="1">
        <v>7478000000</v>
      </c>
      <c r="C19" s="1">
        <v>2046000</v>
      </c>
      <c r="D19">
        <v>27.36</v>
      </c>
      <c r="E19" s="1">
        <v>6031000</v>
      </c>
      <c r="F19" s="1">
        <v>8925000</v>
      </c>
    </row>
    <row r="20" spans="1:15">
      <c r="A20" t="s">
        <v>77</v>
      </c>
      <c r="B20" s="1">
        <v>192.2</v>
      </c>
      <c r="C20" s="1">
        <v>32.32</v>
      </c>
      <c r="D20">
        <v>16.82</v>
      </c>
      <c r="E20" s="1">
        <v>173.5</v>
      </c>
      <c r="F20" s="1">
        <v>229.5</v>
      </c>
    </row>
    <row r="21" spans="1:15">
      <c r="A21" t="s">
        <v>79</v>
      </c>
      <c r="B21" s="1">
        <v>430.6</v>
      </c>
      <c r="C21" s="1">
        <v>0</v>
      </c>
      <c r="D21">
        <v>0</v>
      </c>
      <c r="E21" s="1">
        <v>430.6</v>
      </c>
      <c r="F21" s="1">
        <v>430.6</v>
      </c>
    </row>
    <row r="27" spans="1:15">
      <c r="D27" t="s">
        <v>93</v>
      </c>
      <c r="E27" t="s">
        <v>25</v>
      </c>
      <c r="F27" t="s">
        <v>24</v>
      </c>
      <c r="I27" t="s">
        <v>45</v>
      </c>
      <c r="M27" t="s">
        <v>45</v>
      </c>
    </row>
    <row r="28" spans="1:15" ht="16.5" thickBot="1">
      <c r="D28" t="s">
        <v>90</v>
      </c>
      <c r="E28" s="1">
        <v>138900000</v>
      </c>
      <c r="F28" s="1">
        <f>'[1]3R1'!$R$27</f>
        <v>163000000</v>
      </c>
    </row>
    <row r="29" spans="1:15">
      <c r="E29" s="1">
        <v>147300000</v>
      </c>
      <c r="F29" s="1">
        <f>'[1]3R1'!$T$27</f>
        <v>158000000</v>
      </c>
      <c r="I29" s="4"/>
      <c r="J29" s="4" t="s">
        <v>43</v>
      </c>
      <c r="K29" s="4" t="s">
        <v>44</v>
      </c>
      <c r="M29" s="4"/>
      <c r="N29" s="4" t="s">
        <v>43</v>
      </c>
      <c r="O29" s="4" t="s">
        <v>44</v>
      </c>
    </row>
    <row r="30" spans="1:15">
      <c r="E30" s="1">
        <v>173900000</v>
      </c>
      <c r="F30" s="1">
        <f>'[1]3R1'!$V$27</f>
        <v>166000000</v>
      </c>
      <c r="I30" t="s">
        <v>46</v>
      </c>
      <c r="J30">
        <v>114920000</v>
      </c>
      <c r="K30">
        <v>123666666.66666667</v>
      </c>
      <c r="M30" t="s">
        <v>46</v>
      </c>
      <c r="N30">
        <v>69416666.666666672</v>
      </c>
      <c r="O30">
        <v>73300000</v>
      </c>
    </row>
    <row r="31" spans="1:15">
      <c r="D31" t="s">
        <v>91</v>
      </c>
      <c r="E31" s="1">
        <v>123800000</v>
      </c>
      <c r="F31" s="1">
        <f>'[1]3R2'!$R$27</f>
        <v>127000000</v>
      </c>
      <c r="I31" t="s">
        <v>47</v>
      </c>
      <c r="J31">
        <v>417107200000000</v>
      </c>
      <c r="K31">
        <v>12333333333333.334</v>
      </c>
      <c r="M31" t="s">
        <v>47</v>
      </c>
      <c r="N31">
        <v>63826433333333.328</v>
      </c>
      <c r="O31">
        <v>15210000000000</v>
      </c>
    </row>
    <row r="32" spans="1:15">
      <c r="E32" s="1">
        <v>91560000</v>
      </c>
      <c r="F32" s="1">
        <f>'[1]3R2'!$T$27</f>
        <v>120000000</v>
      </c>
      <c r="I32" t="s">
        <v>48</v>
      </c>
      <c r="J32">
        <v>3</v>
      </c>
      <c r="K32">
        <v>3</v>
      </c>
      <c r="M32" t="s">
        <v>48</v>
      </c>
      <c r="N32">
        <v>3</v>
      </c>
      <c r="O32">
        <v>3</v>
      </c>
    </row>
    <row r="33" spans="4:15">
      <c r="E33" s="1">
        <v>129400000</v>
      </c>
      <c r="F33" s="1">
        <f>'[1]3R2'!$V$27</f>
        <v>124000000</v>
      </c>
      <c r="I33" t="s">
        <v>52</v>
      </c>
      <c r="J33">
        <v>0.83709858073384591</v>
      </c>
      <c r="M33" t="s">
        <v>52</v>
      </c>
      <c r="N33">
        <v>-3.928407419118525E-2</v>
      </c>
    </row>
    <row r="34" spans="4:15">
      <c r="D34" t="s">
        <v>92</v>
      </c>
      <c r="E34" s="1">
        <v>77740000</v>
      </c>
      <c r="F34" s="1">
        <f>'[1]3R3'!$R$27</f>
        <v>71200000</v>
      </c>
      <c r="I34" t="s">
        <v>49</v>
      </c>
      <c r="J34">
        <v>0</v>
      </c>
      <c r="M34" t="s">
        <v>49</v>
      </c>
      <c r="N34">
        <v>0</v>
      </c>
    </row>
    <row r="35" spans="4:15">
      <c r="E35" s="1">
        <v>68700000</v>
      </c>
      <c r="F35" s="1">
        <f>'[1]3R3'!$T$27</f>
        <v>77800000</v>
      </c>
      <c r="I35" t="s">
        <v>50</v>
      </c>
      <c r="J35">
        <v>2</v>
      </c>
      <c r="M35" t="s">
        <v>50</v>
      </c>
      <c r="N35">
        <v>2</v>
      </c>
    </row>
    <row r="36" spans="4:15">
      <c r="E36" s="1">
        <v>61810000</v>
      </c>
      <c r="F36" s="1">
        <f>'[1]3R3'!$V$27</f>
        <v>70900000</v>
      </c>
      <c r="I36" t="s">
        <v>51</v>
      </c>
      <c r="J36">
        <v>-0.86133233147073662</v>
      </c>
      <c r="M36" t="s">
        <v>51</v>
      </c>
      <c r="N36">
        <v>-0.74512300689790201</v>
      </c>
    </row>
    <row r="37" spans="4:15">
      <c r="I37" t="s">
        <v>53</v>
      </c>
      <c r="J37">
        <v>0.23991490045974212</v>
      </c>
      <c r="M37" t="s">
        <v>53</v>
      </c>
      <c r="N37">
        <v>0.26693083345383078</v>
      </c>
    </row>
    <row r="38" spans="4:15">
      <c r="I38" t="s">
        <v>54</v>
      </c>
      <c r="J38">
        <v>2.9199855803537269</v>
      </c>
      <c r="M38" t="s">
        <v>54</v>
      </c>
      <c r="N38">
        <v>2.9199855803537269</v>
      </c>
    </row>
    <row r="39" spans="4:15">
      <c r="I39" t="s">
        <v>55</v>
      </c>
      <c r="J39">
        <v>0.47982980091948424</v>
      </c>
      <c r="M39" t="s">
        <v>55</v>
      </c>
      <c r="N39">
        <v>0.53386166690766157</v>
      </c>
    </row>
    <row r="40" spans="4:15" ht="16.5" thickBot="1">
      <c r="I40" s="3" t="s">
        <v>56</v>
      </c>
      <c r="J40" s="3">
        <v>4.3026527297494637</v>
      </c>
      <c r="K40" s="3"/>
      <c r="M40" s="3" t="s">
        <v>56</v>
      </c>
      <c r="N40" s="3">
        <v>4.3026527297494637</v>
      </c>
      <c r="O40" s="3"/>
    </row>
    <row r="42" spans="4:15">
      <c r="I42" t="s">
        <v>45</v>
      </c>
    </row>
    <row r="43" spans="4:15" ht="16.5" thickBot="1"/>
    <row r="44" spans="4:15">
      <c r="I44" s="4"/>
      <c r="J44" s="4" t="s">
        <v>43</v>
      </c>
      <c r="K44" s="4" t="s">
        <v>44</v>
      </c>
    </row>
    <row r="45" spans="4:15">
      <c r="I45" t="s">
        <v>46</v>
      </c>
      <c r="J45">
        <v>153366666.66666666</v>
      </c>
      <c r="K45">
        <v>162333333.33333334</v>
      </c>
    </row>
    <row r="46" spans="4:15">
      <c r="I46" t="s">
        <v>47</v>
      </c>
      <c r="J46">
        <v>333853333333333.31</v>
      </c>
      <c r="K46">
        <v>16333333333333.332</v>
      </c>
    </row>
    <row r="47" spans="4:15">
      <c r="I47" t="s">
        <v>48</v>
      </c>
      <c r="J47">
        <v>3</v>
      </c>
      <c r="K47">
        <v>3</v>
      </c>
    </row>
    <row r="48" spans="4:15">
      <c r="I48" t="s">
        <v>52</v>
      </c>
      <c r="J48">
        <v>0.62248335125107368</v>
      </c>
    </row>
    <row r="49" spans="9:11">
      <c r="I49" t="s">
        <v>49</v>
      </c>
      <c r="J49">
        <v>0</v>
      </c>
    </row>
    <row r="50" spans="9:11">
      <c r="I50" t="s">
        <v>50</v>
      </c>
      <c r="J50">
        <v>2</v>
      </c>
    </row>
    <row r="51" spans="9:11">
      <c r="I51" t="s">
        <v>51</v>
      </c>
      <c r="J51">
        <v>-0.96642617667308395</v>
      </c>
    </row>
    <row r="52" spans="9:11">
      <c r="I52" t="s">
        <v>53</v>
      </c>
      <c r="J52">
        <v>0.21789541320146283</v>
      </c>
    </row>
    <row r="53" spans="9:11">
      <c r="I53" t="s">
        <v>54</v>
      </c>
      <c r="J53">
        <v>2.9199855803537269</v>
      </c>
    </row>
    <row r="54" spans="9:11">
      <c r="I54" t="s">
        <v>55</v>
      </c>
      <c r="J54">
        <v>0.43579082640292566</v>
      </c>
    </row>
    <row r="55" spans="9:11" ht="16.5" thickBot="1">
      <c r="I55" s="3" t="s">
        <v>56</v>
      </c>
      <c r="J55" s="3">
        <v>4.3026527297494637</v>
      </c>
      <c r="K55" s="3"/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8319D-AF63-431C-8972-96474104111B}">
  <dimension ref="A1:W89"/>
  <sheetViews>
    <sheetView topLeftCell="I1" workbookViewId="0">
      <selection activeCell="O4" sqref="O4"/>
    </sheetView>
  </sheetViews>
  <sheetFormatPr defaultRowHeight="15.75"/>
  <cols>
    <col min="1" max="1" width="17.6640625" customWidth="1"/>
  </cols>
  <sheetData>
    <row r="1" spans="1:23">
      <c r="A1" t="s">
        <v>5</v>
      </c>
      <c r="B1" t="s">
        <v>94</v>
      </c>
      <c r="C1" t="s">
        <v>5</v>
      </c>
      <c r="D1" t="s">
        <v>94</v>
      </c>
      <c r="E1" t="s">
        <v>5</v>
      </c>
      <c r="F1" t="s">
        <v>94</v>
      </c>
      <c r="G1" t="s">
        <v>95</v>
      </c>
      <c r="H1" t="s">
        <v>96</v>
      </c>
      <c r="I1" t="s">
        <v>95</v>
      </c>
      <c r="J1" t="s">
        <v>96</v>
      </c>
      <c r="K1" t="s">
        <v>95</v>
      </c>
      <c r="L1" t="s">
        <v>96</v>
      </c>
      <c r="M1" t="s">
        <v>97</v>
      </c>
      <c r="N1" t="s">
        <v>98</v>
      </c>
      <c r="O1" t="s">
        <v>97</v>
      </c>
      <c r="P1" t="s">
        <v>98</v>
      </c>
      <c r="Q1" t="s">
        <v>97</v>
      </c>
      <c r="R1" t="s">
        <v>98</v>
      </c>
      <c r="T1" t="str" cm="1">
        <f t="array" ref="T1:T71">A1:A71</f>
        <v>Size (d.nm) - 0.5E_S2_2xCen_20250514 [Steady state]</v>
      </c>
      <c r="U1" t="s">
        <v>21</v>
      </c>
      <c r="V1" t="s">
        <v>22</v>
      </c>
      <c r="W1" t="s">
        <v>23</v>
      </c>
    </row>
    <row r="2" spans="1:23">
      <c r="A2">
        <v>0.3</v>
      </c>
      <c r="B2">
        <v>0</v>
      </c>
      <c r="C2">
        <v>0.3</v>
      </c>
      <c r="D2">
        <v>0</v>
      </c>
      <c r="E2">
        <v>0.3</v>
      </c>
      <c r="F2">
        <v>0</v>
      </c>
      <c r="G2">
        <v>0.3</v>
      </c>
      <c r="H2">
        <v>0</v>
      </c>
      <c r="I2">
        <v>0.3</v>
      </c>
      <c r="J2">
        <v>0</v>
      </c>
      <c r="K2">
        <v>0.3</v>
      </c>
      <c r="L2">
        <v>0</v>
      </c>
      <c r="M2">
        <v>0.3</v>
      </c>
      <c r="N2">
        <v>0</v>
      </c>
      <c r="O2">
        <v>0.3</v>
      </c>
      <c r="P2">
        <v>0</v>
      </c>
      <c r="Q2">
        <v>0.3</v>
      </c>
      <c r="R2">
        <v>0</v>
      </c>
      <c r="T2">
        <v>0.3</v>
      </c>
      <c r="U2">
        <f>AVERAGE(B2,D2,F2)</f>
        <v>0</v>
      </c>
      <c r="V2">
        <f>AVERAGE(H2,J2,L2)</f>
        <v>0</v>
      </c>
      <c r="W2">
        <f>AVERAGE(N2,P2,R2)</f>
        <v>0</v>
      </c>
    </row>
    <row r="3" spans="1:23">
      <c r="A3">
        <v>0.34889999999999999</v>
      </c>
      <c r="B3">
        <v>0</v>
      </c>
      <c r="C3">
        <v>0.34889999999999999</v>
      </c>
      <c r="D3">
        <v>0</v>
      </c>
      <c r="E3">
        <v>0.34889999999999999</v>
      </c>
      <c r="F3">
        <v>0</v>
      </c>
      <c r="G3">
        <v>0.34889999999999999</v>
      </c>
      <c r="H3">
        <v>0</v>
      </c>
      <c r="I3">
        <v>0.34889999999999999</v>
      </c>
      <c r="J3">
        <v>0</v>
      </c>
      <c r="K3">
        <v>0.34889999999999999</v>
      </c>
      <c r="L3">
        <v>0</v>
      </c>
      <c r="M3">
        <v>0.34889999999999999</v>
      </c>
      <c r="N3">
        <v>0</v>
      </c>
      <c r="O3">
        <v>0.34889999999999999</v>
      </c>
      <c r="P3">
        <v>0</v>
      </c>
      <c r="Q3">
        <v>0.34889999999999999</v>
      </c>
      <c r="R3">
        <v>0</v>
      </c>
      <c r="T3">
        <v>0.34889999999999999</v>
      </c>
      <c r="U3">
        <f t="shared" ref="U3:U66" si="0">AVERAGE(B3,D3,F3)</f>
        <v>0</v>
      </c>
      <c r="V3">
        <f t="shared" ref="V3:V66" si="1">AVERAGE(H3,J3,L3)</f>
        <v>0</v>
      </c>
      <c r="W3">
        <f t="shared" ref="W3:W66" si="2">AVERAGE(N3,P3,R3)</f>
        <v>0</v>
      </c>
    </row>
    <row r="4" spans="1:23">
      <c r="A4">
        <v>0.40570000000000001</v>
      </c>
      <c r="B4">
        <v>0</v>
      </c>
      <c r="C4">
        <v>0.40570000000000001</v>
      </c>
      <c r="D4">
        <v>0</v>
      </c>
      <c r="E4">
        <v>0.40570000000000001</v>
      </c>
      <c r="F4">
        <v>0</v>
      </c>
      <c r="G4">
        <v>0.40570000000000001</v>
      </c>
      <c r="H4">
        <v>0</v>
      </c>
      <c r="I4">
        <v>0.40570000000000001</v>
      </c>
      <c r="J4">
        <v>0</v>
      </c>
      <c r="K4">
        <v>0.40570000000000001</v>
      </c>
      <c r="L4">
        <v>0</v>
      </c>
      <c r="M4">
        <v>0.40570000000000001</v>
      </c>
      <c r="N4">
        <v>0</v>
      </c>
      <c r="O4">
        <v>0.40570000000000001</v>
      </c>
      <c r="P4">
        <v>0</v>
      </c>
      <c r="Q4">
        <v>0.40570000000000001</v>
      </c>
      <c r="R4">
        <v>0</v>
      </c>
      <c r="T4">
        <v>0.40570000000000001</v>
      </c>
      <c r="U4">
        <f t="shared" si="0"/>
        <v>0</v>
      </c>
      <c r="V4">
        <f t="shared" si="1"/>
        <v>0</v>
      </c>
      <c r="W4">
        <f t="shared" si="2"/>
        <v>0</v>
      </c>
    </row>
    <row r="5" spans="1:23">
      <c r="A5">
        <v>0.4718</v>
      </c>
      <c r="B5">
        <v>0</v>
      </c>
      <c r="C5">
        <v>0.4718</v>
      </c>
      <c r="D5">
        <v>0</v>
      </c>
      <c r="E5">
        <v>0.4718</v>
      </c>
      <c r="F5">
        <v>0</v>
      </c>
      <c r="G5">
        <v>0.4718</v>
      </c>
      <c r="H5">
        <v>0</v>
      </c>
      <c r="I5">
        <v>0.4718</v>
      </c>
      <c r="J5">
        <v>0</v>
      </c>
      <c r="K5">
        <v>0.4718</v>
      </c>
      <c r="L5">
        <v>0</v>
      </c>
      <c r="M5">
        <v>0.4718</v>
      </c>
      <c r="N5">
        <v>0</v>
      </c>
      <c r="O5">
        <v>0.4718</v>
      </c>
      <c r="P5">
        <v>0</v>
      </c>
      <c r="Q5">
        <v>0.4718</v>
      </c>
      <c r="R5">
        <v>0</v>
      </c>
      <c r="T5">
        <v>0.4718</v>
      </c>
      <c r="U5">
        <f t="shared" si="0"/>
        <v>0</v>
      </c>
      <c r="V5">
        <f t="shared" si="1"/>
        <v>0</v>
      </c>
      <c r="W5">
        <f t="shared" si="2"/>
        <v>0</v>
      </c>
    </row>
    <row r="6" spans="1:23">
      <c r="A6">
        <v>0.54869999999999997</v>
      </c>
      <c r="B6">
        <v>0</v>
      </c>
      <c r="C6">
        <v>0.54869999999999997</v>
      </c>
      <c r="D6">
        <v>0</v>
      </c>
      <c r="E6">
        <v>0.54869999999999997</v>
      </c>
      <c r="F6">
        <v>0</v>
      </c>
      <c r="G6">
        <v>0.54869999999999997</v>
      </c>
      <c r="H6">
        <v>0</v>
      </c>
      <c r="I6">
        <v>0.54869999999999997</v>
      </c>
      <c r="J6">
        <v>0</v>
      </c>
      <c r="K6">
        <v>0.54869999999999997</v>
      </c>
      <c r="L6">
        <v>0</v>
      </c>
      <c r="M6">
        <v>0.54869999999999997</v>
      </c>
      <c r="N6">
        <v>0</v>
      </c>
      <c r="O6">
        <v>0.54869999999999997</v>
      </c>
      <c r="P6">
        <v>0</v>
      </c>
      <c r="Q6">
        <v>0.54869999999999997</v>
      </c>
      <c r="R6">
        <v>0</v>
      </c>
      <c r="T6">
        <v>0.54869999999999997</v>
      </c>
      <c r="U6">
        <f t="shared" si="0"/>
        <v>0</v>
      </c>
      <c r="V6">
        <f t="shared" si="1"/>
        <v>0</v>
      </c>
      <c r="W6">
        <f t="shared" si="2"/>
        <v>0</v>
      </c>
    </row>
    <row r="7" spans="1:23">
      <c r="A7">
        <v>0.6381</v>
      </c>
      <c r="B7">
        <v>0</v>
      </c>
      <c r="C7">
        <v>0.6381</v>
      </c>
      <c r="D7">
        <v>0</v>
      </c>
      <c r="E7">
        <v>0.6381</v>
      </c>
      <c r="F7">
        <v>0</v>
      </c>
      <c r="G7">
        <v>0.6381</v>
      </c>
      <c r="H7">
        <v>0</v>
      </c>
      <c r="I7">
        <v>0.6381</v>
      </c>
      <c r="J7">
        <v>0</v>
      </c>
      <c r="K7">
        <v>0.6381</v>
      </c>
      <c r="L7">
        <v>0</v>
      </c>
      <c r="M7">
        <v>0.6381</v>
      </c>
      <c r="N7">
        <v>0</v>
      </c>
      <c r="O7">
        <v>0.6381</v>
      </c>
      <c r="P7">
        <v>0</v>
      </c>
      <c r="Q7">
        <v>0.6381</v>
      </c>
      <c r="R7">
        <v>0</v>
      </c>
      <c r="T7">
        <v>0.6381</v>
      </c>
      <c r="U7">
        <f t="shared" si="0"/>
        <v>0</v>
      </c>
      <c r="V7">
        <f t="shared" si="1"/>
        <v>0</v>
      </c>
      <c r="W7">
        <f t="shared" si="2"/>
        <v>0</v>
      </c>
    </row>
    <row r="8" spans="1:23">
      <c r="A8">
        <v>0.74199999999999999</v>
      </c>
      <c r="B8">
        <v>0</v>
      </c>
      <c r="C8">
        <v>0.74199999999999999</v>
      </c>
      <c r="D8">
        <v>0</v>
      </c>
      <c r="E8">
        <v>0.74199999999999999</v>
      </c>
      <c r="F8">
        <v>0</v>
      </c>
      <c r="G8">
        <v>0.74199999999999999</v>
      </c>
      <c r="H8">
        <v>0</v>
      </c>
      <c r="I8">
        <v>0.74199999999999999</v>
      </c>
      <c r="J8">
        <v>0</v>
      </c>
      <c r="K8">
        <v>0.74199999999999999</v>
      </c>
      <c r="L8">
        <v>0</v>
      </c>
      <c r="M8">
        <v>0.74199999999999999</v>
      </c>
      <c r="N8">
        <v>0</v>
      </c>
      <c r="O8">
        <v>0.74199999999999999</v>
      </c>
      <c r="P8">
        <v>0</v>
      </c>
      <c r="Q8">
        <v>0.74199999999999999</v>
      </c>
      <c r="R8">
        <v>0</v>
      </c>
      <c r="T8">
        <v>0.74199999999999999</v>
      </c>
      <c r="U8">
        <f t="shared" si="0"/>
        <v>0</v>
      </c>
      <c r="V8">
        <f t="shared" si="1"/>
        <v>0</v>
      </c>
      <c r="W8">
        <f t="shared" si="2"/>
        <v>0</v>
      </c>
    </row>
    <row r="9" spans="1:23">
      <c r="A9">
        <v>0.8629</v>
      </c>
      <c r="B9">
        <v>0</v>
      </c>
      <c r="C9">
        <v>0.8629</v>
      </c>
      <c r="D9">
        <v>0</v>
      </c>
      <c r="E9">
        <v>0.8629</v>
      </c>
      <c r="F9">
        <v>0</v>
      </c>
      <c r="G9">
        <v>0.8629</v>
      </c>
      <c r="H9">
        <v>0</v>
      </c>
      <c r="I9">
        <v>0.8629</v>
      </c>
      <c r="J9">
        <v>0</v>
      </c>
      <c r="K9">
        <v>0.8629</v>
      </c>
      <c r="L9">
        <v>0</v>
      </c>
      <c r="M9">
        <v>0.8629</v>
      </c>
      <c r="N9">
        <v>0</v>
      </c>
      <c r="O9">
        <v>0.8629</v>
      </c>
      <c r="P9">
        <v>0</v>
      </c>
      <c r="Q9">
        <v>0.8629</v>
      </c>
      <c r="R9">
        <v>0</v>
      </c>
      <c r="T9">
        <v>0.8629</v>
      </c>
      <c r="U9">
        <f t="shared" si="0"/>
        <v>0</v>
      </c>
      <c r="V9">
        <f t="shared" si="1"/>
        <v>0</v>
      </c>
      <c r="W9">
        <f t="shared" si="2"/>
        <v>0</v>
      </c>
    </row>
    <row r="10" spans="1:23">
      <c r="A10">
        <v>1.0029999999999999</v>
      </c>
      <c r="B10">
        <v>0</v>
      </c>
      <c r="C10">
        <v>1.0029999999999999</v>
      </c>
      <c r="D10">
        <v>0</v>
      </c>
      <c r="E10">
        <v>1.0029999999999999</v>
      </c>
      <c r="F10">
        <v>0</v>
      </c>
      <c r="G10">
        <v>1.0029999999999999</v>
      </c>
      <c r="H10">
        <v>0</v>
      </c>
      <c r="I10">
        <v>1.0029999999999999</v>
      </c>
      <c r="J10">
        <v>0</v>
      </c>
      <c r="K10">
        <v>1.0029999999999999</v>
      </c>
      <c r="L10">
        <v>0</v>
      </c>
      <c r="M10">
        <v>1.0029999999999999</v>
      </c>
      <c r="N10">
        <v>0</v>
      </c>
      <c r="O10">
        <v>1.0029999999999999</v>
      </c>
      <c r="P10">
        <v>0</v>
      </c>
      <c r="Q10">
        <v>1.0029999999999999</v>
      </c>
      <c r="R10">
        <v>0</v>
      </c>
      <c r="T10">
        <v>1.0029999999999999</v>
      </c>
      <c r="U10">
        <f t="shared" si="0"/>
        <v>0</v>
      </c>
      <c r="V10">
        <f t="shared" si="1"/>
        <v>0</v>
      </c>
      <c r="W10">
        <f t="shared" si="2"/>
        <v>0</v>
      </c>
    </row>
    <row r="11" spans="1:23">
      <c r="A11">
        <v>1.167</v>
      </c>
      <c r="B11">
        <v>0</v>
      </c>
      <c r="C11">
        <v>1.167</v>
      </c>
      <c r="D11">
        <v>0</v>
      </c>
      <c r="E11">
        <v>1.167</v>
      </c>
      <c r="F11">
        <v>0</v>
      </c>
      <c r="G11">
        <v>1.167</v>
      </c>
      <c r="H11">
        <v>0</v>
      </c>
      <c r="I11">
        <v>1.167</v>
      </c>
      <c r="J11">
        <v>0</v>
      </c>
      <c r="K11">
        <v>1.167</v>
      </c>
      <c r="L11">
        <v>0</v>
      </c>
      <c r="M11">
        <v>1.167</v>
      </c>
      <c r="N11">
        <v>0</v>
      </c>
      <c r="O11">
        <v>1.167</v>
      </c>
      <c r="P11">
        <v>0</v>
      </c>
      <c r="Q11">
        <v>1.167</v>
      </c>
      <c r="R11">
        <v>0</v>
      </c>
      <c r="T11">
        <v>1.167</v>
      </c>
      <c r="U11">
        <f t="shared" si="0"/>
        <v>0</v>
      </c>
      <c r="V11">
        <f t="shared" si="1"/>
        <v>0</v>
      </c>
      <c r="W11">
        <f t="shared" si="2"/>
        <v>0</v>
      </c>
    </row>
    <row r="12" spans="1:23">
      <c r="A12">
        <v>1.357</v>
      </c>
      <c r="B12">
        <v>0</v>
      </c>
      <c r="C12">
        <v>1.357</v>
      </c>
      <c r="D12">
        <v>0</v>
      </c>
      <c r="E12">
        <v>1.357</v>
      </c>
      <c r="F12">
        <v>0</v>
      </c>
      <c r="G12">
        <v>1.357</v>
      </c>
      <c r="H12">
        <v>0</v>
      </c>
      <c r="I12">
        <v>1.357</v>
      </c>
      <c r="J12">
        <v>0</v>
      </c>
      <c r="K12">
        <v>1.357</v>
      </c>
      <c r="L12">
        <v>0</v>
      </c>
      <c r="M12">
        <v>1.357</v>
      </c>
      <c r="N12">
        <v>0</v>
      </c>
      <c r="O12">
        <v>1.357</v>
      </c>
      <c r="P12">
        <v>0</v>
      </c>
      <c r="Q12">
        <v>1.357</v>
      </c>
      <c r="R12">
        <v>0</v>
      </c>
      <c r="T12">
        <v>1.357</v>
      </c>
      <c r="U12">
        <f t="shared" si="0"/>
        <v>0</v>
      </c>
      <c r="V12">
        <f t="shared" si="1"/>
        <v>0</v>
      </c>
      <c r="W12">
        <f t="shared" si="2"/>
        <v>0</v>
      </c>
    </row>
    <row r="13" spans="1:23">
      <c r="A13">
        <v>1.5780000000000001</v>
      </c>
      <c r="B13">
        <v>0</v>
      </c>
      <c r="C13">
        <v>1.5780000000000001</v>
      </c>
      <c r="D13">
        <v>0</v>
      </c>
      <c r="E13">
        <v>1.5780000000000001</v>
      </c>
      <c r="F13">
        <v>0</v>
      </c>
      <c r="G13">
        <v>1.5780000000000001</v>
      </c>
      <c r="H13">
        <v>0</v>
      </c>
      <c r="I13">
        <v>1.5780000000000001</v>
      </c>
      <c r="J13">
        <v>0</v>
      </c>
      <c r="K13">
        <v>1.5780000000000001</v>
      </c>
      <c r="L13">
        <v>0</v>
      </c>
      <c r="M13">
        <v>1.5780000000000001</v>
      </c>
      <c r="N13">
        <v>0</v>
      </c>
      <c r="O13">
        <v>1.5780000000000001</v>
      </c>
      <c r="P13">
        <v>0</v>
      </c>
      <c r="Q13">
        <v>1.5780000000000001</v>
      </c>
      <c r="R13">
        <v>0</v>
      </c>
      <c r="T13">
        <v>1.5780000000000001</v>
      </c>
      <c r="U13">
        <f t="shared" si="0"/>
        <v>0</v>
      </c>
      <c r="V13">
        <f t="shared" si="1"/>
        <v>0</v>
      </c>
      <c r="W13">
        <f t="shared" si="2"/>
        <v>0</v>
      </c>
    </row>
    <row r="14" spans="1:23">
      <c r="A14">
        <v>1.835</v>
      </c>
      <c r="B14">
        <v>0</v>
      </c>
      <c r="C14">
        <v>1.835</v>
      </c>
      <c r="D14">
        <v>0</v>
      </c>
      <c r="E14">
        <v>1.835</v>
      </c>
      <c r="F14">
        <v>0</v>
      </c>
      <c r="G14">
        <v>1.835</v>
      </c>
      <c r="H14">
        <v>0</v>
      </c>
      <c r="I14">
        <v>1.835</v>
      </c>
      <c r="J14">
        <v>0</v>
      </c>
      <c r="K14">
        <v>1.835</v>
      </c>
      <c r="L14">
        <v>0</v>
      </c>
      <c r="M14">
        <v>1.835</v>
      </c>
      <c r="N14">
        <v>0</v>
      </c>
      <c r="O14">
        <v>1.835</v>
      </c>
      <c r="P14">
        <v>0</v>
      </c>
      <c r="Q14">
        <v>1.835</v>
      </c>
      <c r="R14">
        <v>0</v>
      </c>
      <c r="T14">
        <v>1.835</v>
      </c>
      <c r="U14">
        <f t="shared" si="0"/>
        <v>0</v>
      </c>
      <c r="V14">
        <f t="shared" si="1"/>
        <v>0</v>
      </c>
      <c r="W14">
        <f t="shared" si="2"/>
        <v>0</v>
      </c>
    </row>
    <row r="15" spans="1:23">
      <c r="A15">
        <v>2.1339999999999999</v>
      </c>
      <c r="B15">
        <v>0</v>
      </c>
      <c r="C15">
        <v>2.1339999999999999</v>
      </c>
      <c r="D15">
        <v>0</v>
      </c>
      <c r="E15">
        <v>2.1339999999999999</v>
      </c>
      <c r="F15">
        <v>0</v>
      </c>
      <c r="G15">
        <v>2.1339999999999999</v>
      </c>
      <c r="H15">
        <v>0</v>
      </c>
      <c r="I15">
        <v>2.1339999999999999</v>
      </c>
      <c r="J15">
        <v>0</v>
      </c>
      <c r="K15">
        <v>2.1339999999999999</v>
      </c>
      <c r="L15">
        <v>0</v>
      </c>
      <c r="M15">
        <v>2.1339999999999999</v>
      </c>
      <c r="N15">
        <v>0</v>
      </c>
      <c r="O15">
        <v>2.1339999999999999</v>
      </c>
      <c r="P15">
        <v>0</v>
      </c>
      <c r="Q15">
        <v>2.1339999999999999</v>
      </c>
      <c r="R15">
        <v>0</v>
      </c>
      <c r="T15">
        <v>2.1339999999999999</v>
      </c>
      <c r="U15">
        <f t="shared" si="0"/>
        <v>0</v>
      </c>
      <c r="V15">
        <f t="shared" si="1"/>
        <v>0</v>
      </c>
      <c r="W15">
        <f t="shared" si="2"/>
        <v>0</v>
      </c>
    </row>
    <row r="16" spans="1:23">
      <c r="A16">
        <v>2.4820000000000002</v>
      </c>
      <c r="B16">
        <v>0</v>
      </c>
      <c r="C16">
        <v>2.4820000000000002</v>
      </c>
      <c r="D16">
        <v>0</v>
      </c>
      <c r="E16">
        <v>2.4820000000000002</v>
      </c>
      <c r="F16">
        <v>0</v>
      </c>
      <c r="G16">
        <v>2.4820000000000002</v>
      </c>
      <c r="H16">
        <v>0</v>
      </c>
      <c r="I16">
        <v>2.4820000000000002</v>
      </c>
      <c r="J16">
        <v>0</v>
      </c>
      <c r="K16">
        <v>2.4820000000000002</v>
      </c>
      <c r="L16">
        <v>0</v>
      </c>
      <c r="M16">
        <v>2.4820000000000002</v>
      </c>
      <c r="N16">
        <v>0</v>
      </c>
      <c r="O16">
        <v>2.4820000000000002</v>
      </c>
      <c r="P16">
        <v>0</v>
      </c>
      <c r="Q16">
        <v>2.4820000000000002</v>
      </c>
      <c r="R16">
        <v>0</v>
      </c>
      <c r="T16">
        <v>2.4820000000000002</v>
      </c>
      <c r="U16">
        <f t="shared" si="0"/>
        <v>0</v>
      </c>
      <c r="V16">
        <f t="shared" si="1"/>
        <v>0</v>
      </c>
      <c r="W16">
        <f t="shared" si="2"/>
        <v>0</v>
      </c>
    </row>
    <row r="17" spans="1:23">
      <c r="A17">
        <v>2.8860000000000001</v>
      </c>
      <c r="B17">
        <v>0</v>
      </c>
      <c r="C17">
        <v>2.8860000000000001</v>
      </c>
      <c r="D17">
        <v>0</v>
      </c>
      <c r="E17">
        <v>2.8860000000000001</v>
      </c>
      <c r="F17">
        <v>0</v>
      </c>
      <c r="G17">
        <v>2.8860000000000001</v>
      </c>
      <c r="H17">
        <v>0</v>
      </c>
      <c r="I17">
        <v>2.8860000000000001</v>
      </c>
      <c r="J17">
        <v>0</v>
      </c>
      <c r="K17">
        <v>2.8860000000000001</v>
      </c>
      <c r="L17">
        <v>0</v>
      </c>
      <c r="M17">
        <v>2.8860000000000001</v>
      </c>
      <c r="N17">
        <v>0</v>
      </c>
      <c r="O17">
        <v>2.8860000000000001</v>
      </c>
      <c r="P17">
        <v>0</v>
      </c>
      <c r="Q17">
        <v>2.8860000000000001</v>
      </c>
      <c r="R17">
        <v>0</v>
      </c>
      <c r="T17">
        <v>2.8860000000000001</v>
      </c>
      <c r="U17">
        <f t="shared" si="0"/>
        <v>0</v>
      </c>
      <c r="V17">
        <f t="shared" si="1"/>
        <v>0</v>
      </c>
      <c r="W17">
        <f t="shared" si="2"/>
        <v>0</v>
      </c>
    </row>
    <row r="18" spans="1:23">
      <c r="A18">
        <v>3.3570000000000002</v>
      </c>
      <c r="B18">
        <v>0</v>
      </c>
      <c r="C18">
        <v>3.3570000000000002</v>
      </c>
      <c r="D18">
        <v>0</v>
      </c>
      <c r="E18">
        <v>3.3570000000000002</v>
      </c>
      <c r="F18">
        <v>0</v>
      </c>
      <c r="G18">
        <v>3.3570000000000002</v>
      </c>
      <c r="H18">
        <v>0</v>
      </c>
      <c r="I18">
        <v>3.3570000000000002</v>
      </c>
      <c r="J18">
        <v>0</v>
      </c>
      <c r="K18">
        <v>3.3570000000000002</v>
      </c>
      <c r="L18">
        <v>0</v>
      </c>
      <c r="M18">
        <v>3.3570000000000002</v>
      </c>
      <c r="N18">
        <v>0</v>
      </c>
      <c r="O18">
        <v>3.3570000000000002</v>
      </c>
      <c r="P18">
        <v>0</v>
      </c>
      <c r="Q18">
        <v>3.3570000000000002</v>
      </c>
      <c r="R18">
        <v>0</v>
      </c>
      <c r="T18">
        <v>3.3570000000000002</v>
      </c>
      <c r="U18">
        <f t="shared" si="0"/>
        <v>0</v>
      </c>
      <c r="V18">
        <f t="shared" si="1"/>
        <v>0</v>
      </c>
      <c r="W18">
        <f t="shared" si="2"/>
        <v>0</v>
      </c>
    </row>
    <row r="19" spans="1:23">
      <c r="A19">
        <v>3.903</v>
      </c>
      <c r="B19">
        <v>0</v>
      </c>
      <c r="C19">
        <v>3.903</v>
      </c>
      <c r="D19">
        <v>0</v>
      </c>
      <c r="E19">
        <v>3.903</v>
      </c>
      <c r="F19">
        <v>0</v>
      </c>
      <c r="G19">
        <v>3.903</v>
      </c>
      <c r="H19">
        <v>0</v>
      </c>
      <c r="I19">
        <v>3.903</v>
      </c>
      <c r="J19">
        <v>0</v>
      </c>
      <c r="K19">
        <v>3.903</v>
      </c>
      <c r="L19">
        <v>0</v>
      </c>
      <c r="M19">
        <v>3.903</v>
      </c>
      <c r="N19">
        <v>0</v>
      </c>
      <c r="O19">
        <v>3.903</v>
      </c>
      <c r="P19">
        <v>0</v>
      </c>
      <c r="Q19">
        <v>3.903</v>
      </c>
      <c r="R19">
        <v>0</v>
      </c>
      <c r="T19">
        <v>3.903</v>
      </c>
      <c r="U19">
        <f t="shared" si="0"/>
        <v>0</v>
      </c>
      <c r="V19">
        <f t="shared" si="1"/>
        <v>0</v>
      </c>
      <c r="W19">
        <f t="shared" si="2"/>
        <v>0</v>
      </c>
    </row>
    <row r="20" spans="1:23">
      <c r="A20">
        <v>4.5389999999999997</v>
      </c>
      <c r="B20">
        <v>0</v>
      </c>
      <c r="C20">
        <v>4.5389999999999997</v>
      </c>
      <c r="D20">
        <v>0</v>
      </c>
      <c r="E20">
        <v>4.5389999999999997</v>
      </c>
      <c r="F20">
        <v>0</v>
      </c>
      <c r="G20">
        <v>4.5389999999999997</v>
      </c>
      <c r="H20">
        <v>0</v>
      </c>
      <c r="I20">
        <v>4.5389999999999997</v>
      </c>
      <c r="J20">
        <v>0</v>
      </c>
      <c r="K20">
        <v>4.5389999999999997</v>
      </c>
      <c r="L20">
        <v>0</v>
      </c>
      <c r="M20">
        <v>4.5389999999999997</v>
      </c>
      <c r="N20">
        <v>0</v>
      </c>
      <c r="O20">
        <v>4.5389999999999997</v>
      </c>
      <c r="P20">
        <v>0</v>
      </c>
      <c r="Q20">
        <v>4.5389999999999997</v>
      </c>
      <c r="R20">
        <v>0</v>
      </c>
      <c r="T20">
        <v>4.5389999999999997</v>
      </c>
      <c r="U20">
        <f t="shared" si="0"/>
        <v>0</v>
      </c>
      <c r="V20">
        <f t="shared" si="1"/>
        <v>0</v>
      </c>
      <c r="W20">
        <f t="shared" si="2"/>
        <v>0</v>
      </c>
    </row>
    <row r="21" spans="1:23">
      <c r="A21">
        <v>5.2789999999999999</v>
      </c>
      <c r="B21">
        <v>0</v>
      </c>
      <c r="C21">
        <v>5.2789999999999999</v>
      </c>
      <c r="D21">
        <v>0</v>
      </c>
      <c r="E21">
        <v>5.2789999999999999</v>
      </c>
      <c r="F21">
        <v>0</v>
      </c>
      <c r="G21">
        <v>5.2789999999999999</v>
      </c>
      <c r="H21">
        <v>0</v>
      </c>
      <c r="I21">
        <v>5.2789999999999999</v>
      </c>
      <c r="J21">
        <v>0</v>
      </c>
      <c r="K21">
        <v>5.2789999999999999</v>
      </c>
      <c r="L21">
        <v>0</v>
      </c>
      <c r="M21">
        <v>5.2789999999999999</v>
      </c>
      <c r="N21">
        <v>0</v>
      </c>
      <c r="O21">
        <v>5.2789999999999999</v>
      </c>
      <c r="P21">
        <v>0</v>
      </c>
      <c r="Q21">
        <v>5.2789999999999999</v>
      </c>
      <c r="R21">
        <v>0</v>
      </c>
      <c r="T21">
        <v>5.2789999999999999</v>
      </c>
      <c r="U21">
        <f t="shared" si="0"/>
        <v>0</v>
      </c>
      <c r="V21">
        <f t="shared" si="1"/>
        <v>0</v>
      </c>
      <c r="W21">
        <f t="shared" si="2"/>
        <v>0</v>
      </c>
    </row>
    <row r="22" spans="1:23">
      <c r="A22">
        <v>6.1390000000000002</v>
      </c>
      <c r="B22">
        <v>0</v>
      </c>
      <c r="C22">
        <v>6.1390000000000002</v>
      </c>
      <c r="D22">
        <v>0</v>
      </c>
      <c r="E22">
        <v>6.1390000000000002</v>
      </c>
      <c r="F22">
        <v>0</v>
      </c>
      <c r="G22">
        <v>6.1390000000000002</v>
      </c>
      <c r="H22">
        <v>0</v>
      </c>
      <c r="I22">
        <v>6.1390000000000002</v>
      </c>
      <c r="J22">
        <v>0</v>
      </c>
      <c r="K22">
        <v>6.1390000000000002</v>
      </c>
      <c r="L22">
        <v>0</v>
      </c>
      <c r="M22">
        <v>6.1390000000000002</v>
      </c>
      <c r="N22">
        <v>0</v>
      </c>
      <c r="O22">
        <v>6.1390000000000002</v>
      </c>
      <c r="P22">
        <v>0</v>
      </c>
      <c r="Q22">
        <v>6.1390000000000002</v>
      </c>
      <c r="R22">
        <v>0</v>
      </c>
      <c r="T22">
        <v>6.1390000000000002</v>
      </c>
      <c r="U22">
        <f t="shared" si="0"/>
        <v>0</v>
      </c>
      <c r="V22">
        <f t="shared" si="1"/>
        <v>0</v>
      </c>
      <c r="W22">
        <f t="shared" si="2"/>
        <v>0</v>
      </c>
    </row>
    <row r="23" spans="1:23">
      <c r="A23">
        <v>7.1390000000000002</v>
      </c>
      <c r="B23">
        <v>0</v>
      </c>
      <c r="C23">
        <v>7.1390000000000002</v>
      </c>
      <c r="D23">
        <v>0</v>
      </c>
      <c r="E23">
        <v>7.1390000000000002</v>
      </c>
      <c r="F23">
        <v>0</v>
      </c>
      <c r="G23">
        <v>7.1390000000000002</v>
      </c>
      <c r="H23">
        <v>0</v>
      </c>
      <c r="I23">
        <v>7.1390000000000002</v>
      </c>
      <c r="J23">
        <v>0</v>
      </c>
      <c r="K23">
        <v>7.1390000000000002</v>
      </c>
      <c r="L23">
        <v>0</v>
      </c>
      <c r="M23">
        <v>7.1390000000000002</v>
      </c>
      <c r="N23">
        <v>0</v>
      </c>
      <c r="O23">
        <v>7.1390000000000002</v>
      </c>
      <c r="P23">
        <v>0</v>
      </c>
      <c r="Q23">
        <v>7.1390000000000002</v>
      </c>
      <c r="R23">
        <v>0</v>
      </c>
      <c r="T23">
        <v>7.1390000000000002</v>
      </c>
      <c r="U23">
        <f t="shared" si="0"/>
        <v>0</v>
      </c>
      <c r="V23">
        <f t="shared" si="1"/>
        <v>0</v>
      </c>
      <c r="W23">
        <f t="shared" si="2"/>
        <v>0</v>
      </c>
    </row>
    <row r="24" spans="1:23">
      <c r="A24">
        <v>8.3019999999999996</v>
      </c>
      <c r="B24">
        <v>0</v>
      </c>
      <c r="C24">
        <v>8.3019999999999996</v>
      </c>
      <c r="D24">
        <v>0</v>
      </c>
      <c r="E24">
        <v>8.3019999999999996</v>
      </c>
      <c r="F24">
        <v>0</v>
      </c>
      <c r="G24">
        <v>8.3019999999999996</v>
      </c>
      <c r="H24">
        <v>0</v>
      </c>
      <c r="I24">
        <v>8.3019999999999996</v>
      </c>
      <c r="J24">
        <v>0</v>
      </c>
      <c r="K24">
        <v>8.3019999999999996</v>
      </c>
      <c r="L24">
        <v>0</v>
      </c>
      <c r="M24">
        <v>8.3019999999999996</v>
      </c>
      <c r="N24">
        <v>0</v>
      </c>
      <c r="O24">
        <v>8.3019999999999996</v>
      </c>
      <c r="P24">
        <v>0</v>
      </c>
      <c r="Q24">
        <v>8.3019999999999996</v>
      </c>
      <c r="R24">
        <v>0</v>
      </c>
      <c r="T24">
        <v>8.3019999999999996</v>
      </c>
      <c r="U24">
        <f t="shared" si="0"/>
        <v>0</v>
      </c>
      <c r="V24">
        <f t="shared" si="1"/>
        <v>0</v>
      </c>
      <c r="W24">
        <f t="shared" si="2"/>
        <v>0</v>
      </c>
    </row>
    <row r="25" spans="1:23">
      <c r="A25">
        <v>9.6549999999999994</v>
      </c>
      <c r="B25">
        <v>0</v>
      </c>
      <c r="C25">
        <v>9.6549999999999994</v>
      </c>
      <c r="D25">
        <v>0</v>
      </c>
      <c r="E25">
        <v>9.6549999999999994</v>
      </c>
      <c r="F25">
        <v>0</v>
      </c>
      <c r="G25">
        <v>9.6549999999999994</v>
      </c>
      <c r="H25">
        <v>0</v>
      </c>
      <c r="I25">
        <v>9.6549999999999994</v>
      </c>
      <c r="J25">
        <v>0</v>
      </c>
      <c r="K25">
        <v>9.6549999999999994</v>
      </c>
      <c r="L25">
        <v>0</v>
      </c>
      <c r="M25">
        <v>9.6549999999999994</v>
      </c>
      <c r="N25">
        <v>0</v>
      </c>
      <c r="O25">
        <v>9.6549999999999994</v>
      </c>
      <c r="P25">
        <v>0</v>
      </c>
      <c r="Q25">
        <v>9.6549999999999994</v>
      </c>
      <c r="R25">
        <v>0</v>
      </c>
      <c r="T25">
        <v>9.6549999999999994</v>
      </c>
      <c r="U25">
        <f t="shared" si="0"/>
        <v>0</v>
      </c>
      <c r="V25">
        <f t="shared" si="1"/>
        <v>0</v>
      </c>
      <c r="W25">
        <f t="shared" si="2"/>
        <v>0</v>
      </c>
    </row>
    <row r="26" spans="1:23">
      <c r="A26">
        <v>11.23</v>
      </c>
      <c r="B26">
        <v>0</v>
      </c>
      <c r="C26">
        <v>11.23</v>
      </c>
      <c r="D26">
        <v>0</v>
      </c>
      <c r="E26">
        <v>11.23</v>
      </c>
      <c r="F26">
        <v>0</v>
      </c>
      <c r="G26">
        <v>11.23</v>
      </c>
      <c r="H26">
        <v>0</v>
      </c>
      <c r="I26">
        <v>11.23</v>
      </c>
      <c r="J26">
        <v>0</v>
      </c>
      <c r="K26">
        <v>11.23</v>
      </c>
      <c r="L26">
        <v>0</v>
      </c>
      <c r="M26">
        <v>11.23</v>
      </c>
      <c r="N26">
        <v>0</v>
      </c>
      <c r="O26">
        <v>11.23</v>
      </c>
      <c r="P26">
        <v>0</v>
      </c>
      <c r="Q26">
        <v>11.23</v>
      </c>
      <c r="R26">
        <v>0</v>
      </c>
      <c r="T26">
        <v>11.23</v>
      </c>
      <c r="U26">
        <f t="shared" si="0"/>
        <v>0</v>
      </c>
      <c r="V26">
        <f t="shared" si="1"/>
        <v>0</v>
      </c>
      <c r="W26">
        <f t="shared" si="2"/>
        <v>0</v>
      </c>
    </row>
    <row r="27" spans="1:23">
      <c r="A27">
        <v>13.06</v>
      </c>
      <c r="B27">
        <v>0</v>
      </c>
      <c r="C27">
        <v>13.06</v>
      </c>
      <c r="D27">
        <v>0</v>
      </c>
      <c r="E27">
        <v>13.06</v>
      </c>
      <c r="F27">
        <v>0</v>
      </c>
      <c r="G27">
        <v>13.06</v>
      </c>
      <c r="H27">
        <v>0</v>
      </c>
      <c r="I27">
        <v>13.06</v>
      </c>
      <c r="J27">
        <v>0</v>
      </c>
      <c r="K27">
        <v>13.06</v>
      </c>
      <c r="L27">
        <v>0</v>
      </c>
      <c r="M27">
        <v>13.06</v>
      </c>
      <c r="N27">
        <v>0</v>
      </c>
      <c r="O27">
        <v>13.06</v>
      </c>
      <c r="P27">
        <v>0</v>
      </c>
      <c r="Q27">
        <v>13.06</v>
      </c>
      <c r="R27">
        <v>0</v>
      </c>
      <c r="T27">
        <v>13.06</v>
      </c>
      <c r="U27">
        <f t="shared" si="0"/>
        <v>0</v>
      </c>
      <c r="V27">
        <f t="shared" si="1"/>
        <v>0</v>
      </c>
      <c r="W27">
        <f t="shared" si="2"/>
        <v>0</v>
      </c>
    </row>
    <row r="28" spans="1:23">
      <c r="A28">
        <v>15.18</v>
      </c>
      <c r="B28">
        <v>0</v>
      </c>
      <c r="C28">
        <v>15.18</v>
      </c>
      <c r="D28">
        <v>0</v>
      </c>
      <c r="E28">
        <v>15.18</v>
      </c>
      <c r="F28">
        <v>0</v>
      </c>
      <c r="G28">
        <v>15.18</v>
      </c>
      <c r="H28">
        <v>0</v>
      </c>
      <c r="I28">
        <v>15.18</v>
      </c>
      <c r="J28">
        <v>0</v>
      </c>
      <c r="K28">
        <v>15.18</v>
      </c>
      <c r="L28">
        <v>0</v>
      </c>
      <c r="M28">
        <v>15.18</v>
      </c>
      <c r="N28">
        <v>0</v>
      </c>
      <c r="O28">
        <v>15.18</v>
      </c>
      <c r="P28">
        <v>0</v>
      </c>
      <c r="Q28">
        <v>15.18</v>
      </c>
      <c r="R28">
        <v>0</v>
      </c>
      <c r="T28">
        <v>15.18</v>
      </c>
      <c r="U28">
        <f t="shared" si="0"/>
        <v>0</v>
      </c>
      <c r="V28">
        <f t="shared" si="1"/>
        <v>0</v>
      </c>
      <c r="W28">
        <f t="shared" si="2"/>
        <v>0</v>
      </c>
    </row>
    <row r="29" spans="1:23">
      <c r="A29">
        <v>17.66</v>
      </c>
      <c r="B29">
        <v>0</v>
      </c>
      <c r="C29">
        <v>17.66</v>
      </c>
      <c r="D29">
        <v>0</v>
      </c>
      <c r="E29">
        <v>17.66</v>
      </c>
      <c r="F29">
        <v>0</v>
      </c>
      <c r="G29">
        <v>17.66</v>
      </c>
      <c r="H29">
        <v>0</v>
      </c>
      <c r="I29">
        <v>17.66</v>
      </c>
      <c r="J29">
        <v>0</v>
      </c>
      <c r="K29">
        <v>17.66</v>
      </c>
      <c r="L29">
        <v>0</v>
      </c>
      <c r="M29">
        <v>17.66</v>
      </c>
      <c r="N29">
        <v>0</v>
      </c>
      <c r="O29">
        <v>17.66</v>
      </c>
      <c r="P29">
        <v>0</v>
      </c>
      <c r="Q29">
        <v>17.66</v>
      </c>
      <c r="R29">
        <v>0</v>
      </c>
      <c r="T29">
        <v>17.66</v>
      </c>
      <c r="U29">
        <f t="shared" si="0"/>
        <v>0</v>
      </c>
      <c r="V29">
        <f t="shared" si="1"/>
        <v>0</v>
      </c>
      <c r="W29">
        <f t="shared" si="2"/>
        <v>0</v>
      </c>
    </row>
    <row r="30" spans="1:23">
      <c r="A30">
        <v>20.53</v>
      </c>
      <c r="B30">
        <v>0</v>
      </c>
      <c r="C30">
        <v>20.53</v>
      </c>
      <c r="D30">
        <v>0</v>
      </c>
      <c r="E30">
        <v>20.53</v>
      </c>
      <c r="F30">
        <v>0</v>
      </c>
      <c r="G30">
        <v>20.53</v>
      </c>
      <c r="H30">
        <v>0</v>
      </c>
      <c r="I30">
        <v>20.53</v>
      </c>
      <c r="J30">
        <v>0</v>
      </c>
      <c r="K30">
        <v>20.53</v>
      </c>
      <c r="L30">
        <v>0</v>
      </c>
      <c r="M30">
        <v>20.53</v>
      </c>
      <c r="N30">
        <v>0</v>
      </c>
      <c r="O30">
        <v>20.53</v>
      </c>
      <c r="P30">
        <v>0</v>
      </c>
      <c r="Q30">
        <v>20.53</v>
      </c>
      <c r="R30">
        <v>0</v>
      </c>
      <c r="T30">
        <v>20.53</v>
      </c>
      <c r="U30">
        <f t="shared" si="0"/>
        <v>0</v>
      </c>
      <c r="V30">
        <f t="shared" si="1"/>
        <v>0</v>
      </c>
      <c r="W30">
        <f t="shared" si="2"/>
        <v>0</v>
      </c>
    </row>
    <row r="31" spans="1:23">
      <c r="A31">
        <v>23.88</v>
      </c>
      <c r="B31">
        <v>0</v>
      </c>
      <c r="C31">
        <v>23.88</v>
      </c>
      <c r="D31">
        <v>0</v>
      </c>
      <c r="E31">
        <v>23.88</v>
      </c>
      <c r="F31">
        <v>0</v>
      </c>
      <c r="G31">
        <v>23.88</v>
      </c>
      <c r="H31">
        <v>0</v>
      </c>
      <c r="I31">
        <v>23.88</v>
      </c>
      <c r="J31">
        <v>0</v>
      </c>
      <c r="K31">
        <v>23.88</v>
      </c>
      <c r="L31">
        <v>0</v>
      </c>
      <c r="M31">
        <v>23.88</v>
      </c>
      <c r="N31">
        <v>0</v>
      </c>
      <c r="O31">
        <v>23.88</v>
      </c>
      <c r="P31">
        <v>0</v>
      </c>
      <c r="Q31">
        <v>23.88</v>
      </c>
      <c r="R31">
        <v>0</v>
      </c>
      <c r="T31">
        <v>23.88</v>
      </c>
      <c r="U31">
        <f t="shared" si="0"/>
        <v>0</v>
      </c>
      <c r="V31">
        <f t="shared" si="1"/>
        <v>0</v>
      </c>
      <c r="W31">
        <f t="shared" si="2"/>
        <v>0</v>
      </c>
    </row>
    <row r="32" spans="1:23">
      <c r="A32">
        <v>27.77</v>
      </c>
      <c r="B32">
        <v>0</v>
      </c>
      <c r="C32">
        <v>27.77</v>
      </c>
      <c r="D32">
        <v>0</v>
      </c>
      <c r="E32">
        <v>27.77</v>
      </c>
      <c r="F32">
        <v>0</v>
      </c>
      <c r="G32">
        <v>27.77</v>
      </c>
      <c r="H32">
        <v>0</v>
      </c>
      <c r="I32">
        <v>27.77</v>
      </c>
      <c r="J32">
        <v>0</v>
      </c>
      <c r="K32">
        <v>27.77</v>
      </c>
      <c r="L32">
        <v>0</v>
      </c>
      <c r="M32">
        <v>27.77</v>
      </c>
      <c r="N32">
        <v>0</v>
      </c>
      <c r="O32">
        <v>27.77</v>
      </c>
      <c r="P32">
        <v>0</v>
      </c>
      <c r="Q32">
        <v>27.77</v>
      </c>
      <c r="R32">
        <v>0</v>
      </c>
      <c r="T32">
        <v>27.77</v>
      </c>
      <c r="U32">
        <f t="shared" si="0"/>
        <v>0</v>
      </c>
      <c r="V32">
        <f t="shared" si="1"/>
        <v>0</v>
      </c>
      <c r="W32">
        <f t="shared" si="2"/>
        <v>0</v>
      </c>
    </row>
    <row r="33" spans="1:23">
      <c r="A33">
        <v>32.299999999999997</v>
      </c>
      <c r="B33">
        <v>0</v>
      </c>
      <c r="C33">
        <v>32.299999999999997</v>
      </c>
      <c r="D33">
        <v>0</v>
      </c>
      <c r="E33">
        <v>32.299999999999997</v>
      </c>
      <c r="F33">
        <v>0</v>
      </c>
      <c r="G33">
        <v>32.299999999999997</v>
      </c>
      <c r="H33">
        <v>0</v>
      </c>
      <c r="I33">
        <v>32.299999999999997</v>
      </c>
      <c r="J33">
        <v>0</v>
      </c>
      <c r="K33">
        <v>32.299999999999997</v>
      </c>
      <c r="L33">
        <v>0</v>
      </c>
      <c r="M33">
        <v>32.299999999999997</v>
      </c>
      <c r="N33">
        <v>0</v>
      </c>
      <c r="O33">
        <v>32.299999999999997</v>
      </c>
      <c r="P33">
        <v>0</v>
      </c>
      <c r="Q33">
        <v>32.299999999999997</v>
      </c>
      <c r="R33">
        <v>0</v>
      </c>
      <c r="T33">
        <v>32.299999999999997</v>
      </c>
      <c r="U33">
        <f t="shared" si="0"/>
        <v>0</v>
      </c>
      <c r="V33">
        <f t="shared" si="1"/>
        <v>0</v>
      </c>
      <c r="W33">
        <f t="shared" si="2"/>
        <v>0</v>
      </c>
    </row>
    <row r="34" spans="1:23">
      <c r="A34">
        <v>37.56</v>
      </c>
      <c r="B34">
        <v>0</v>
      </c>
      <c r="C34">
        <v>37.56</v>
      </c>
      <c r="D34">
        <v>0</v>
      </c>
      <c r="E34">
        <v>37.56</v>
      </c>
      <c r="F34">
        <v>0</v>
      </c>
      <c r="G34">
        <v>37.56</v>
      </c>
      <c r="H34">
        <v>0</v>
      </c>
      <c r="I34">
        <v>37.56</v>
      </c>
      <c r="J34">
        <v>0</v>
      </c>
      <c r="K34">
        <v>37.56</v>
      </c>
      <c r="L34">
        <v>0</v>
      </c>
      <c r="M34">
        <v>37.56</v>
      </c>
      <c r="N34">
        <v>0</v>
      </c>
      <c r="O34">
        <v>37.56</v>
      </c>
      <c r="P34">
        <v>0</v>
      </c>
      <c r="Q34">
        <v>37.56</v>
      </c>
      <c r="R34">
        <v>0</v>
      </c>
      <c r="T34">
        <v>37.56</v>
      </c>
      <c r="U34">
        <f t="shared" si="0"/>
        <v>0</v>
      </c>
      <c r="V34">
        <f t="shared" si="1"/>
        <v>0</v>
      </c>
      <c r="W34">
        <f t="shared" si="2"/>
        <v>0</v>
      </c>
    </row>
    <row r="35" spans="1:23">
      <c r="A35">
        <v>43.68</v>
      </c>
      <c r="B35">
        <v>0</v>
      </c>
      <c r="C35">
        <v>43.68</v>
      </c>
      <c r="D35">
        <v>0</v>
      </c>
      <c r="E35">
        <v>43.68</v>
      </c>
      <c r="F35">
        <v>0</v>
      </c>
      <c r="G35">
        <v>43.68</v>
      </c>
      <c r="H35">
        <v>0</v>
      </c>
      <c r="I35">
        <v>43.68</v>
      </c>
      <c r="J35">
        <v>0</v>
      </c>
      <c r="K35">
        <v>43.68</v>
      </c>
      <c r="L35">
        <v>0</v>
      </c>
      <c r="M35">
        <v>43.68</v>
      </c>
      <c r="N35">
        <v>0</v>
      </c>
      <c r="O35">
        <v>43.68</v>
      </c>
      <c r="P35">
        <v>0</v>
      </c>
      <c r="Q35">
        <v>43.68</v>
      </c>
      <c r="R35">
        <v>0</v>
      </c>
      <c r="T35">
        <v>43.68</v>
      </c>
      <c r="U35">
        <f t="shared" si="0"/>
        <v>0</v>
      </c>
      <c r="V35">
        <f t="shared" si="1"/>
        <v>0</v>
      </c>
      <c r="W35">
        <f t="shared" si="2"/>
        <v>0</v>
      </c>
    </row>
    <row r="36" spans="1:23">
      <c r="A36">
        <v>50.79</v>
      </c>
      <c r="B36">
        <v>0</v>
      </c>
      <c r="C36">
        <v>50.79</v>
      </c>
      <c r="D36">
        <v>0</v>
      </c>
      <c r="E36">
        <v>50.79</v>
      </c>
      <c r="F36">
        <v>0</v>
      </c>
      <c r="G36">
        <v>50.79</v>
      </c>
      <c r="H36">
        <v>0</v>
      </c>
      <c r="I36">
        <v>50.79</v>
      </c>
      <c r="J36">
        <v>0</v>
      </c>
      <c r="K36">
        <v>50.79</v>
      </c>
      <c r="L36">
        <v>0</v>
      </c>
      <c r="M36">
        <v>50.79</v>
      </c>
      <c r="N36">
        <v>0</v>
      </c>
      <c r="O36">
        <v>50.79</v>
      </c>
      <c r="P36">
        <v>0</v>
      </c>
      <c r="Q36">
        <v>50.79</v>
      </c>
      <c r="R36">
        <v>0</v>
      </c>
      <c r="T36">
        <v>50.79</v>
      </c>
      <c r="U36">
        <f t="shared" si="0"/>
        <v>0</v>
      </c>
      <c r="V36">
        <f t="shared" si="1"/>
        <v>0</v>
      </c>
      <c r="W36">
        <f t="shared" si="2"/>
        <v>0</v>
      </c>
    </row>
    <row r="37" spans="1:23">
      <c r="A37">
        <v>59.07</v>
      </c>
      <c r="B37">
        <v>0</v>
      </c>
      <c r="C37">
        <v>59.07</v>
      </c>
      <c r="D37">
        <v>0</v>
      </c>
      <c r="E37">
        <v>59.07</v>
      </c>
      <c r="F37">
        <v>0</v>
      </c>
      <c r="G37">
        <v>59.07</v>
      </c>
      <c r="H37">
        <v>0</v>
      </c>
      <c r="I37">
        <v>59.07</v>
      </c>
      <c r="J37">
        <v>0</v>
      </c>
      <c r="K37">
        <v>59.07</v>
      </c>
      <c r="L37">
        <v>0</v>
      </c>
      <c r="M37">
        <v>59.07</v>
      </c>
      <c r="N37">
        <v>0</v>
      </c>
      <c r="O37">
        <v>59.07</v>
      </c>
      <c r="P37">
        <v>0</v>
      </c>
      <c r="Q37">
        <v>59.07</v>
      </c>
      <c r="R37">
        <v>0</v>
      </c>
      <c r="T37">
        <v>59.07</v>
      </c>
      <c r="U37">
        <f t="shared" si="0"/>
        <v>0</v>
      </c>
      <c r="V37">
        <f t="shared" si="1"/>
        <v>0</v>
      </c>
      <c r="W37">
        <f t="shared" si="2"/>
        <v>0</v>
      </c>
    </row>
    <row r="38" spans="1:23">
      <c r="A38">
        <v>68.69</v>
      </c>
      <c r="B38">
        <v>0</v>
      </c>
      <c r="C38">
        <v>68.69</v>
      </c>
      <c r="D38">
        <v>0</v>
      </c>
      <c r="E38">
        <v>68.69</v>
      </c>
      <c r="F38">
        <v>0</v>
      </c>
      <c r="G38">
        <v>68.69</v>
      </c>
      <c r="H38">
        <v>0</v>
      </c>
      <c r="I38">
        <v>68.69</v>
      </c>
      <c r="J38">
        <v>0</v>
      </c>
      <c r="K38">
        <v>68.69</v>
      </c>
      <c r="L38">
        <v>0</v>
      </c>
      <c r="M38">
        <v>68.69</v>
      </c>
      <c r="N38">
        <v>0</v>
      </c>
      <c r="O38">
        <v>68.69</v>
      </c>
      <c r="P38">
        <v>0</v>
      </c>
      <c r="Q38">
        <v>68.69</v>
      </c>
      <c r="R38">
        <v>0</v>
      </c>
      <c r="T38">
        <v>68.69</v>
      </c>
      <c r="U38">
        <f t="shared" si="0"/>
        <v>0</v>
      </c>
      <c r="V38">
        <f t="shared" si="1"/>
        <v>0</v>
      </c>
      <c r="W38">
        <f t="shared" si="2"/>
        <v>0</v>
      </c>
    </row>
    <row r="39" spans="1:23">
      <c r="A39">
        <v>79.88</v>
      </c>
      <c r="B39">
        <v>0</v>
      </c>
      <c r="C39">
        <v>79.88</v>
      </c>
      <c r="D39">
        <v>0</v>
      </c>
      <c r="E39">
        <v>79.88</v>
      </c>
      <c r="F39">
        <v>0</v>
      </c>
      <c r="G39">
        <v>79.88</v>
      </c>
      <c r="H39">
        <v>0</v>
      </c>
      <c r="I39">
        <v>79.88</v>
      </c>
      <c r="J39">
        <v>0</v>
      </c>
      <c r="K39">
        <v>79.88</v>
      </c>
      <c r="L39">
        <v>0</v>
      </c>
      <c r="M39">
        <v>79.88</v>
      </c>
      <c r="N39">
        <v>0</v>
      </c>
      <c r="O39">
        <v>79.88</v>
      </c>
      <c r="P39">
        <v>0</v>
      </c>
      <c r="Q39">
        <v>79.88</v>
      </c>
      <c r="R39">
        <v>0</v>
      </c>
      <c r="T39">
        <v>79.88</v>
      </c>
      <c r="U39">
        <f t="shared" si="0"/>
        <v>0</v>
      </c>
      <c r="V39">
        <f t="shared" si="1"/>
        <v>0</v>
      </c>
      <c r="W39">
        <f t="shared" si="2"/>
        <v>0</v>
      </c>
    </row>
    <row r="40" spans="1:23">
      <c r="A40">
        <v>92.89</v>
      </c>
      <c r="B40">
        <v>0</v>
      </c>
      <c r="C40">
        <v>92.89</v>
      </c>
      <c r="D40">
        <v>0</v>
      </c>
      <c r="E40">
        <v>92.89</v>
      </c>
      <c r="F40">
        <v>0</v>
      </c>
      <c r="G40">
        <v>92.89</v>
      </c>
      <c r="H40">
        <v>0</v>
      </c>
      <c r="I40">
        <v>92.89</v>
      </c>
      <c r="J40">
        <v>0</v>
      </c>
      <c r="K40">
        <v>92.89</v>
      </c>
      <c r="L40">
        <v>0</v>
      </c>
      <c r="M40">
        <v>92.89</v>
      </c>
      <c r="N40">
        <v>0</v>
      </c>
      <c r="O40">
        <v>92.89</v>
      </c>
      <c r="P40">
        <v>0</v>
      </c>
      <c r="Q40">
        <v>92.89</v>
      </c>
      <c r="R40">
        <v>0</v>
      </c>
      <c r="T40">
        <v>92.89</v>
      </c>
      <c r="U40">
        <f t="shared" si="0"/>
        <v>0</v>
      </c>
      <c r="V40">
        <f t="shared" si="1"/>
        <v>0</v>
      </c>
      <c r="W40">
        <f t="shared" si="2"/>
        <v>0</v>
      </c>
    </row>
    <row r="41" spans="1:23">
      <c r="A41">
        <v>108</v>
      </c>
      <c r="B41">
        <v>0</v>
      </c>
      <c r="C41">
        <v>108</v>
      </c>
      <c r="D41">
        <v>0</v>
      </c>
      <c r="E41">
        <v>108</v>
      </c>
      <c r="F41">
        <v>0</v>
      </c>
      <c r="G41">
        <v>108</v>
      </c>
      <c r="H41">
        <v>0</v>
      </c>
      <c r="I41">
        <v>108</v>
      </c>
      <c r="J41">
        <v>0</v>
      </c>
      <c r="K41">
        <v>108</v>
      </c>
      <c r="L41">
        <v>0</v>
      </c>
      <c r="M41">
        <v>108</v>
      </c>
      <c r="N41">
        <v>0</v>
      </c>
      <c r="O41">
        <v>108</v>
      </c>
      <c r="P41">
        <v>0</v>
      </c>
      <c r="Q41">
        <v>108</v>
      </c>
      <c r="R41">
        <v>0</v>
      </c>
      <c r="T41">
        <v>108</v>
      </c>
      <c r="U41">
        <f t="shared" si="0"/>
        <v>0</v>
      </c>
      <c r="V41">
        <f t="shared" si="1"/>
        <v>0</v>
      </c>
      <c r="W41">
        <f t="shared" si="2"/>
        <v>0</v>
      </c>
    </row>
    <row r="42" spans="1:23">
      <c r="A42">
        <v>125.6</v>
      </c>
      <c r="B42">
        <v>0.34560000000000002</v>
      </c>
      <c r="C42">
        <v>125.6</v>
      </c>
      <c r="D42">
        <v>0.52080000000000004</v>
      </c>
      <c r="E42">
        <v>125.6</v>
      </c>
      <c r="F42">
        <v>0.1031</v>
      </c>
      <c r="G42">
        <v>125.6</v>
      </c>
      <c r="H42">
        <v>0</v>
      </c>
      <c r="I42">
        <v>125.6</v>
      </c>
      <c r="J42">
        <v>0</v>
      </c>
      <c r="K42">
        <v>125.6</v>
      </c>
      <c r="L42">
        <v>0</v>
      </c>
      <c r="M42">
        <v>125.6</v>
      </c>
      <c r="N42">
        <v>0</v>
      </c>
      <c r="O42">
        <v>125.6</v>
      </c>
      <c r="P42">
        <v>0</v>
      </c>
      <c r="Q42">
        <v>125.6</v>
      </c>
      <c r="R42">
        <v>0</v>
      </c>
      <c r="T42">
        <v>125.6</v>
      </c>
      <c r="U42">
        <f t="shared" si="0"/>
        <v>0.32316666666666666</v>
      </c>
      <c r="V42">
        <f t="shared" si="1"/>
        <v>0</v>
      </c>
      <c r="W42">
        <f t="shared" si="2"/>
        <v>0</v>
      </c>
    </row>
    <row r="43" spans="1:23">
      <c r="A43">
        <v>146.1</v>
      </c>
      <c r="B43">
        <v>4.3250000000000002</v>
      </c>
      <c r="C43">
        <v>146.1</v>
      </c>
      <c r="D43">
        <v>4.4400000000000004</v>
      </c>
      <c r="E43">
        <v>146.1</v>
      </c>
      <c r="F43">
        <v>4.0730000000000004</v>
      </c>
      <c r="G43">
        <v>146.1</v>
      </c>
      <c r="H43">
        <v>1.8220000000000001</v>
      </c>
      <c r="I43">
        <v>146.1</v>
      </c>
      <c r="J43">
        <v>2.42</v>
      </c>
      <c r="K43">
        <v>146.1</v>
      </c>
      <c r="L43">
        <v>3.2349999999999999</v>
      </c>
      <c r="M43">
        <v>146.1</v>
      </c>
      <c r="N43">
        <v>0</v>
      </c>
      <c r="O43">
        <v>146.1</v>
      </c>
      <c r="P43">
        <v>0</v>
      </c>
      <c r="Q43">
        <v>146.1</v>
      </c>
      <c r="R43">
        <v>0</v>
      </c>
      <c r="T43">
        <v>146.1</v>
      </c>
      <c r="U43">
        <f t="shared" si="0"/>
        <v>4.2793333333333337</v>
      </c>
      <c r="V43">
        <f t="shared" si="1"/>
        <v>2.4923333333333333</v>
      </c>
      <c r="W43">
        <f t="shared" si="2"/>
        <v>0</v>
      </c>
    </row>
    <row r="44" spans="1:23">
      <c r="A44">
        <v>169.9</v>
      </c>
      <c r="B44">
        <v>10.86</v>
      </c>
      <c r="C44">
        <v>169.9</v>
      </c>
      <c r="D44">
        <v>10.64</v>
      </c>
      <c r="E44">
        <v>169.9</v>
      </c>
      <c r="F44">
        <v>10.62</v>
      </c>
      <c r="G44">
        <v>169.9</v>
      </c>
      <c r="H44">
        <v>18.86</v>
      </c>
      <c r="I44">
        <v>169.9</v>
      </c>
      <c r="J44">
        <v>16.829999999999998</v>
      </c>
      <c r="K44">
        <v>169.9</v>
      </c>
      <c r="L44">
        <v>18.88</v>
      </c>
      <c r="M44">
        <v>169.9</v>
      </c>
      <c r="N44">
        <v>3.4780000000000002</v>
      </c>
      <c r="O44">
        <v>169.9</v>
      </c>
      <c r="P44">
        <v>1.4079999999999999</v>
      </c>
      <c r="Q44">
        <v>169.9</v>
      </c>
      <c r="R44">
        <v>1.9259999999999999</v>
      </c>
      <c r="T44">
        <v>169.9</v>
      </c>
      <c r="U44">
        <f t="shared" si="0"/>
        <v>10.706666666666665</v>
      </c>
      <c r="V44">
        <f t="shared" si="1"/>
        <v>18.189999999999998</v>
      </c>
      <c r="W44">
        <f t="shared" si="2"/>
        <v>2.2706666666666666</v>
      </c>
    </row>
    <row r="45" spans="1:23">
      <c r="A45">
        <v>197.6</v>
      </c>
      <c r="B45">
        <v>17.149999999999999</v>
      </c>
      <c r="C45">
        <v>197.6</v>
      </c>
      <c r="D45">
        <v>16.55</v>
      </c>
      <c r="E45">
        <v>197.6</v>
      </c>
      <c r="F45">
        <v>16.829999999999998</v>
      </c>
      <c r="G45">
        <v>197.6</v>
      </c>
      <c r="H45">
        <v>33.5</v>
      </c>
      <c r="I45">
        <v>197.6</v>
      </c>
      <c r="J45">
        <v>29.9</v>
      </c>
      <c r="K45">
        <v>197.6</v>
      </c>
      <c r="L45">
        <v>31.77</v>
      </c>
      <c r="M45">
        <v>197.6</v>
      </c>
      <c r="N45">
        <v>15.23</v>
      </c>
      <c r="O45">
        <v>197.6</v>
      </c>
      <c r="P45">
        <v>15.3</v>
      </c>
      <c r="Q45">
        <v>197.6</v>
      </c>
      <c r="R45">
        <v>17.829999999999998</v>
      </c>
      <c r="T45">
        <v>197.6</v>
      </c>
      <c r="U45">
        <f t="shared" si="0"/>
        <v>16.843333333333334</v>
      </c>
      <c r="V45">
        <f t="shared" si="1"/>
        <v>31.723333333333333</v>
      </c>
      <c r="W45">
        <f t="shared" si="2"/>
        <v>16.12</v>
      </c>
    </row>
    <row r="46" spans="1:23">
      <c r="A46">
        <v>229.8</v>
      </c>
      <c r="B46">
        <v>20.56</v>
      </c>
      <c r="C46">
        <v>229.8</v>
      </c>
      <c r="D46">
        <v>19.8</v>
      </c>
      <c r="E46">
        <v>229.8</v>
      </c>
      <c r="F46">
        <v>20.149999999999999</v>
      </c>
      <c r="G46">
        <v>229.8</v>
      </c>
      <c r="H46">
        <v>31.22</v>
      </c>
      <c r="I46">
        <v>229.8</v>
      </c>
      <c r="J46">
        <v>29.92</v>
      </c>
      <c r="K46">
        <v>229.8</v>
      </c>
      <c r="L46">
        <v>29.83</v>
      </c>
      <c r="M46">
        <v>229.8</v>
      </c>
      <c r="N46">
        <v>26.26</v>
      </c>
      <c r="O46">
        <v>229.8</v>
      </c>
      <c r="P46">
        <v>28.89</v>
      </c>
      <c r="Q46">
        <v>229.8</v>
      </c>
      <c r="R46">
        <v>32.04</v>
      </c>
      <c r="T46">
        <v>229.8</v>
      </c>
      <c r="U46">
        <f t="shared" si="0"/>
        <v>20.169999999999998</v>
      </c>
      <c r="V46">
        <f t="shared" si="1"/>
        <v>30.323333333333334</v>
      </c>
      <c r="W46">
        <f t="shared" si="2"/>
        <v>29.063333333333333</v>
      </c>
    </row>
    <row r="47" spans="1:23">
      <c r="A47">
        <v>267.2</v>
      </c>
      <c r="B47">
        <v>19.78</v>
      </c>
      <c r="C47">
        <v>267.2</v>
      </c>
      <c r="D47">
        <v>19.239999999999998</v>
      </c>
      <c r="E47">
        <v>267.2</v>
      </c>
      <c r="F47">
        <v>19.46</v>
      </c>
      <c r="G47">
        <v>267.2</v>
      </c>
      <c r="H47">
        <v>14.6</v>
      </c>
      <c r="I47">
        <v>267.2</v>
      </c>
      <c r="J47">
        <v>17.36</v>
      </c>
      <c r="K47">
        <v>267.2</v>
      </c>
      <c r="L47">
        <v>15.09</v>
      </c>
      <c r="M47">
        <v>267.2</v>
      </c>
      <c r="N47">
        <v>28.11</v>
      </c>
      <c r="O47">
        <v>267.2</v>
      </c>
      <c r="P47">
        <v>30.27</v>
      </c>
      <c r="Q47">
        <v>267.2</v>
      </c>
      <c r="R47">
        <v>30.96</v>
      </c>
      <c r="T47">
        <v>267.2</v>
      </c>
      <c r="U47">
        <f t="shared" si="0"/>
        <v>19.493333333333332</v>
      </c>
      <c r="V47">
        <f t="shared" si="1"/>
        <v>15.683333333333332</v>
      </c>
      <c r="W47">
        <f t="shared" si="2"/>
        <v>29.78</v>
      </c>
    </row>
    <row r="48" spans="1:23">
      <c r="A48">
        <v>310.7</v>
      </c>
      <c r="B48">
        <v>15.22</v>
      </c>
      <c r="C48">
        <v>310.7</v>
      </c>
      <c r="D48">
        <v>15.21</v>
      </c>
      <c r="E48">
        <v>310.7</v>
      </c>
      <c r="F48">
        <v>15.25</v>
      </c>
      <c r="G48">
        <v>310.7</v>
      </c>
      <c r="H48">
        <v>0</v>
      </c>
      <c r="I48">
        <v>310.7</v>
      </c>
      <c r="J48">
        <v>3.577</v>
      </c>
      <c r="K48">
        <v>310.7</v>
      </c>
      <c r="L48">
        <v>1.1890000000000001</v>
      </c>
      <c r="M48">
        <v>310.7</v>
      </c>
      <c r="N48">
        <v>19.63</v>
      </c>
      <c r="O48">
        <v>310.7</v>
      </c>
      <c r="P48">
        <v>18.97</v>
      </c>
      <c r="Q48">
        <v>310.7</v>
      </c>
      <c r="R48">
        <v>15.95</v>
      </c>
      <c r="T48">
        <v>310.7</v>
      </c>
      <c r="U48">
        <f t="shared" si="0"/>
        <v>15.226666666666667</v>
      </c>
      <c r="V48">
        <f t="shared" si="1"/>
        <v>1.5886666666666667</v>
      </c>
      <c r="W48">
        <f t="shared" si="2"/>
        <v>18.183333333333334</v>
      </c>
    </row>
    <row r="49" spans="1:23">
      <c r="A49">
        <v>361.3</v>
      </c>
      <c r="B49">
        <v>8.7609999999999992</v>
      </c>
      <c r="C49">
        <v>361.3</v>
      </c>
      <c r="D49">
        <v>9.3059999999999992</v>
      </c>
      <c r="E49">
        <v>361.3</v>
      </c>
      <c r="F49">
        <v>9.2539999999999996</v>
      </c>
      <c r="G49">
        <v>361.3</v>
      </c>
      <c r="H49">
        <v>0</v>
      </c>
      <c r="I49">
        <v>361.3</v>
      </c>
      <c r="J49">
        <v>0</v>
      </c>
      <c r="K49">
        <v>361.3</v>
      </c>
      <c r="L49">
        <v>0</v>
      </c>
      <c r="M49">
        <v>361.3</v>
      </c>
      <c r="N49">
        <v>7.2809999999999997</v>
      </c>
      <c r="O49">
        <v>361.3</v>
      </c>
      <c r="P49">
        <v>5.1619999999999999</v>
      </c>
      <c r="Q49">
        <v>361.3</v>
      </c>
      <c r="R49">
        <v>1.3009999999999999</v>
      </c>
      <c r="T49">
        <v>361.3</v>
      </c>
      <c r="U49">
        <f t="shared" si="0"/>
        <v>9.1069999999999993</v>
      </c>
      <c r="V49">
        <f t="shared" si="1"/>
        <v>0</v>
      </c>
      <c r="W49">
        <f t="shared" si="2"/>
        <v>4.5813333333333333</v>
      </c>
    </row>
    <row r="50" spans="1:23">
      <c r="A50">
        <v>420.2</v>
      </c>
      <c r="B50">
        <v>2.9860000000000002</v>
      </c>
      <c r="C50">
        <v>420.2</v>
      </c>
      <c r="D50">
        <v>3.7749999999999999</v>
      </c>
      <c r="E50">
        <v>420.2</v>
      </c>
      <c r="F50">
        <v>3.7330000000000001</v>
      </c>
      <c r="G50">
        <v>420.2</v>
      </c>
      <c r="H50">
        <v>0</v>
      </c>
      <c r="I50">
        <v>420.2</v>
      </c>
      <c r="J50">
        <v>0</v>
      </c>
      <c r="K50">
        <v>420.2</v>
      </c>
      <c r="L50">
        <v>0</v>
      </c>
      <c r="M50">
        <v>420.2</v>
      </c>
      <c r="N50">
        <v>0</v>
      </c>
      <c r="O50">
        <v>420.2</v>
      </c>
      <c r="P50">
        <v>0</v>
      </c>
      <c r="Q50">
        <v>420.2</v>
      </c>
      <c r="R50">
        <v>0</v>
      </c>
      <c r="T50">
        <v>420.2</v>
      </c>
      <c r="U50">
        <f t="shared" si="0"/>
        <v>3.4979999999999998</v>
      </c>
      <c r="V50">
        <f t="shared" si="1"/>
        <v>0</v>
      </c>
      <c r="W50">
        <f t="shared" si="2"/>
        <v>0</v>
      </c>
    </row>
    <row r="51" spans="1:23">
      <c r="A51">
        <v>488.7</v>
      </c>
      <c r="B51">
        <v>0</v>
      </c>
      <c r="C51">
        <v>488.7</v>
      </c>
      <c r="D51">
        <v>0.52149999999999996</v>
      </c>
      <c r="E51">
        <v>488.7</v>
      </c>
      <c r="F51">
        <v>0.52569999999999995</v>
      </c>
      <c r="G51">
        <v>488.7</v>
      </c>
      <c r="H51">
        <v>0</v>
      </c>
      <c r="I51">
        <v>488.7</v>
      </c>
      <c r="J51">
        <v>0</v>
      </c>
      <c r="K51">
        <v>488.7</v>
      </c>
      <c r="L51">
        <v>0</v>
      </c>
      <c r="M51">
        <v>488.7</v>
      </c>
      <c r="N51">
        <v>0</v>
      </c>
      <c r="O51">
        <v>488.7</v>
      </c>
      <c r="P51">
        <v>0</v>
      </c>
      <c r="Q51">
        <v>488.7</v>
      </c>
      <c r="R51">
        <v>0</v>
      </c>
      <c r="T51">
        <v>488.7</v>
      </c>
      <c r="U51">
        <f t="shared" si="0"/>
        <v>0.34906666666666664</v>
      </c>
      <c r="V51">
        <f t="shared" si="1"/>
        <v>0</v>
      </c>
      <c r="W51">
        <f t="shared" si="2"/>
        <v>0</v>
      </c>
    </row>
    <row r="52" spans="1:23">
      <c r="A52">
        <v>568.29999999999995</v>
      </c>
      <c r="B52">
        <v>0</v>
      </c>
      <c r="C52">
        <v>568.29999999999995</v>
      </c>
      <c r="D52">
        <v>0</v>
      </c>
      <c r="E52">
        <v>568.29999999999995</v>
      </c>
      <c r="F52">
        <v>0</v>
      </c>
      <c r="G52">
        <v>568.29999999999995</v>
      </c>
      <c r="H52">
        <v>0</v>
      </c>
      <c r="I52">
        <v>568.29999999999995</v>
      </c>
      <c r="J52">
        <v>0</v>
      </c>
      <c r="K52">
        <v>568.29999999999995</v>
      </c>
      <c r="L52">
        <v>0</v>
      </c>
      <c r="M52">
        <v>568.29999999999995</v>
      </c>
      <c r="N52">
        <v>0</v>
      </c>
      <c r="O52">
        <v>568.29999999999995</v>
      </c>
      <c r="P52">
        <v>0</v>
      </c>
      <c r="Q52">
        <v>568.29999999999995</v>
      </c>
      <c r="R52">
        <v>0</v>
      </c>
      <c r="T52">
        <v>568.29999999999995</v>
      </c>
      <c r="U52">
        <f t="shared" si="0"/>
        <v>0</v>
      </c>
      <c r="V52">
        <f t="shared" si="1"/>
        <v>0</v>
      </c>
      <c r="W52">
        <f t="shared" si="2"/>
        <v>0</v>
      </c>
    </row>
    <row r="53" spans="1:23">
      <c r="A53">
        <v>660.9</v>
      </c>
      <c r="B53">
        <v>0</v>
      </c>
      <c r="C53">
        <v>660.9</v>
      </c>
      <c r="D53">
        <v>0</v>
      </c>
      <c r="E53">
        <v>660.9</v>
      </c>
      <c r="F53">
        <v>0</v>
      </c>
      <c r="G53">
        <v>660.9</v>
      </c>
      <c r="H53">
        <v>0</v>
      </c>
      <c r="I53">
        <v>660.9</v>
      </c>
      <c r="J53">
        <v>0</v>
      </c>
      <c r="K53">
        <v>660.9</v>
      </c>
      <c r="L53">
        <v>0</v>
      </c>
      <c r="M53">
        <v>660.9</v>
      </c>
      <c r="N53">
        <v>0</v>
      </c>
      <c r="O53">
        <v>660.9</v>
      </c>
      <c r="P53">
        <v>0</v>
      </c>
      <c r="Q53">
        <v>660.9</v>
      </c>
      <c r="R53">
        <v>0</v>
      </c>
      <c r="T53">
        <v>660.9</v>
      </c>
      <c r="U53">
        <f t="shared" si="0"/>
        <v>0</v>
      </c>
      <c r="V53">
        <f t="shared" si="1"/>
        <v>0</v>
      </c>
      <c r="W53">
        <f t="shared" si="2"/>
        <v>0</v>
      </c>
    </row>
    <row r="54" spans="1:23">
      <c r="A54">
        <v>768.5</v>
      </c>
      <c r="B54">
        <v>0</v>
      </c>
      <c r="C54">
        <v>768.5</v>
      </c>
      <c r="D54">
        <v>0</v>
      </c>
      <c r="E54">
        <v>768.5</v>
      </c>
      <c r="F54">
        <v>0</v>
      </c>
      <c r="G54">
        <v>768.5</v>
      </c>
      <c r="H54">
        <v>0</v>
      </c>
      <c r="I54">
        <v>768.5</v>
      </c>
      <c r="J54">
        <v>0</v>
      </c>
      <c r="K54">
        <v>768.5</v>
      </c>
      <c r="L54">
        <v>0</v>
      </c>
      <c r="M54">
        <v>768.5</v>
      </c>
      <c r="N54">
        <v>0</v>
      </c>
      <c r="O54">
        <v>768.5</v>
      </c>
      <c r="P54">
        <v>0</v>
      </c>
      <c r="Q54">
        <v>768.5</v>
      </c>
      <c r="R54">
        <v>0</v>
      </c>
      <c r="T54">
        <v>768.5</v>
      </c>
      <c r="U54">
        <f t="shared" si="0"/>
        <v>0</v>
      </c>
      <c r="V54">
        <f t="shared" si="1"/>
        <v>0</v>
      </c>
      <c r="W54">
        <f t="shared" si="2"/>
        <v>0</v>
      </c>
    </row>
    <row r="55" spans="1:23">
      <c r="A55">
        <v>893.8</v>
      </c>
      <c r="B55">
        <v>0</v>
      </c>
      <c r="C55">
        <v>893.8</v>
      </c>
      <c r="D55">
        <v>0</v>
      </c>
      <c r="E55">
        <v>893.8</v>
      </c>
      <c r="F55">
        <v>0</v>
      </c>
      <c r="G55">
        <v>893.8</v>
      </c>
      <c r="H55">
        <v>0</v>
      </c>
      <c r="I55">
        <v>893.8</v>
      </c>
      <c r="J55">
        <v>0</v>
      </c>
      <c r="K55">
        <v>893.8</v>
      </c>
      <c r="L55">
        <v>0</v>
      </c>
      <c r="M55">
        <v>893.8</v>
      </c>
      <c r="N55">
        <v>0</v>
      </c>
      <c r="O55">
        <v>893.8</v>
      </c>
      <c r="P55">
        <v>0</v>
      </c>
      <c r="Q55">
        <v>893.8</v>
      </c>
      <c r="R55">
        <v>0</v>
      </c>
      <c r="T55">
        <v>893.8</v>
      </c>
      <c r="U55">
        <f t="shared" si="0"/>
        <v>0</v>
      </c>
      <c r="V55">
        <f t="shared" si="1"/>
        <v>0</v>
      </c>
      <c r="W55">
        <f t="shared" si="2"/>
        <v>0</v>
      </c>
    </row>
    <row r="56" spans="1:23">
      <c r="A56">
        <v>1039</v>
      </c>
      <c r="B56">
        <v>0</v>
      </c>
      <c r="C56">
        <v>1039</v>
      </c>
      <c r="D56">
        <v>0</v>
      </c>
      <c r="E56">
        <v>1039</v>
      </c>
      <c r="F56">
        <v>0</v>
      </c>
      <c r="G56">
        <v>1039</v>
      </c>
      <c r="H56">
        <v>0</v>
      </c>
      <c r="I56">
        <v>1039</v>
      </c>
      <c r="J56">
        <v>0</v>
      </c>
      <c r="K56">
        <v>1039</v>
      </c>
      <c r="L56">
        <v>0</v>
      </c>
      <c r="M56">
        <v>1039</v>
      </c>
      <c r="N56">
        <v>0</v>
      </c>
      <c r="O56">
        <v>1039</v>
      </c>
      <c r="P56">
        <v>0</v>
      </c>
      <c r="Q56">
        <v>1039</v>
      </c>
      <c r="R56">
        <v>0</v>
      </c>
      <c r="T56">
        <v>1039</v>
      </c>
      <c r="U56">
        <f t="shared" si="0"/>
        <v>0</v>
      </c>
      <c r="V56">
        <f t="shared" si="1"/>
        <v>0</v>
      </c>
      <c r="W56">
        <f t="shared" si="2"/>
        <v>0</v>
      </c>
    </row>
    <row r="57" spans="1:23">
      <c r="A57">
        <v>1209</v>
      </c>
      <c r="B57">
        <v>0</v>
      </c>
      <c r="C57">
        <v>1209</v>
      </c>
      <c r="D57">
        <v>0</v>
      </c>
      <c r="E57">
        <v>1209</v>
      </c>
      <c r="F57">
        <v>0</v>
      </c>
      <c r="G57">
        <v>1209</v>
      </c>
      <c r="H57">
        <v>0</v>
      </c>
      <c r="I57">
        <v>1209</v>
      </c>
      <c r="J57">
        <v>0</v>
      </c>
      <c r="K57">
        <v>1209</v>
      </c>
      <c r="L57">
        <v>0</v>
      </c>
      <c r="M57">
        <v>1209</v>
      </c>
      <c r="N57">
        <v>0</v>
      </c>
      <c r="O57">
        <v>1209</v>
      </c>
      <c r="P57">
        <v>0</v>
      </c>
      <c r="Q57">
        <v>1209</v>
      </c>
      <c r="R57">
        <v>0</v>
      </c>
      <c r="T57">
        <v>1209</v>
      </c>
      <c r="U57">
        <f t="shared" si="0"/>
        <v>0</v>
      </c>
      <c r="V57">
        <f t="shared" si="1"/>
        <v>0</v>
      </c>
      <c r="W57">
        <f t="shared" si="2"/>
        <v>0</v>
      </c>
    </row>
    <row r="58" spans="1:23">
      <c r="A58">
        <v>1406</v>
      </c>
      <c r="B58">
        <v>0</v>
      </c>
      <c r="C58">
        <v>1406</v>
      </c>
      <c r="D58">
        <v>0</v>
      </c>
      <c r="E58">
        <v>1406</v>
      </c>
      <c r="F58">
        <v>0</v>
      </c>
      <c r="G58">
        <v>1406</v>
      </c>
      <c r="H58">
        <v>0</v>
      </c>
      <c r="I58">
        <v>1406</v>
      </c>
      <c r="J58">
        <v>0</v>
      </c>
      <c r="K58">
        <v>1406</v>
      </c>
      <c r="L58">
        <v>0</v>
      </c>
      <c r="M58">
        <v>1406</v>
      </c>
      <c r="N58">
        <v>0</v>
      </c>
      <c r="O58">
        <v>1406</v>
      </c>
      <c r="P58">
        <v>0</v>
      </c>
      <c r="Q58">
        <v>1406</v>
      </c>
      <c r="R58">
        <v>0</v>
      </c>
      <c r="T58">
        <v>1406</v>
      </c>
      <c r="U58">
        <f t="shared" si="0"/>
        <v>0</v>
      </c>
      <c r="V58">
        <f t="shared" si="1"/>
        <v>0</v>
      </c>
      <c r="W58">
        <f t="shared" si="2"/>
        <v>0</v>
      </c>
    </row>
    <row r="59" spans="1:23">
      <c r="A59">
        <v>1635</v>
      </c>
      <c r="B59">
        <v>0</v>
      </c>
      <c r="C59">
        <v>1635</v>
      </c>
      <c r="D59">
        <v>0</v>
      </c>
      <c r="E59">
        <v>1635</v>
      </c>
      <c r="F59">
        <v>0</v>
      </c>
      <c r="G59">
        <v>1635</v>
      </c>
      <c r="H59">
        <v>0</v>
      </c>
      <c r="I59">
        <v>1635</v>
      </c>
      <c r="J59">
        <v>0</v>
      </c>
      <c r="K59">
        <v>1635</v>
      </c>
      <c r="L59">
        <v>0</v>
      </c>
      <c r="M59">
        <v>1635</v>
      </c>
      <c r="N59">
        <v>0</v>
      </c>
      <c r="O59">
        <v>1635</v>
      </c>
      <c r="P59">
        <v>0</v>
      </c>
      <c r="Q59">
        <v>1635</v>
      </c>
      <c r="R59">
        <v>0</v>
      </c>
      <c r="T59">
        <v>1635</v>
      </c>
      <c r="U59">
        <f t="shared" si="0"/>
        <v>0</v>
      </c>
      <c r="V59">
        <f t="shared" si="1"/>
        <v>0</v>
      </c>
      <c r="W59">
        <f t="shared" si="2"/>
        <v>0</v>
      </c>
    </row>
    <row r="60" spans="1:23">
      <c r="A60">
        <v>1901</v>
      </c>
      <c r="B60">
        <v>0</v>
      </c>
      <c r="C60">
        <v>1901</v>
      </c>
      <c r="D60">
        <v>0</v>
      </c>
      <c r="E60">
        <v>1901</v>
      </c>
      <c r="F60">
        <v>0</v>
      </c>
      <c r="G60">
        <v>1901</v>
      </c>
      <c r="H60">
        <v>0</v>
      </c>
      <c r="I60">
        <v>1901</v>
      </c>
      <c r="J60">
        <v>0</v>
      </c>
      <c r="K60">
        <v>1901</v>
      </c>
      <c r="L60">
        <v>0</v>
      </c>
      <c r="M60">
        <v>1901</v>
      </c>
      <c r="N60">
        <v>0</v>
      </c>
      <c r="O60">
        <v>1901</v>
      </c>
      <c r="P60">
        <v>0</v>
      </c>
      <c r="Q60">
        <v>1901</v>
      </c>
      <c r="R60">
        <v>0</v>
      </c>
      <c r="T60">
        <v>1901</v>
      </c>
      <c r="U60">
        <f t="shared" si="0"/>
        <v>0</v>
      </c>
      <c r="V60">
        <f t="shared" si="1"/>
        <v>0</v>
      </c>
      <c r="W60">
        <f t="shared" si="2"/>
        <v>0</v>
      </c>
    </row>
    <row r="61" spans="1:23">
      <c r="A61">
        <v>2211</v>
      </c>
      <c r="B61">
        <v>0</v>
      </c>
      <c r="C61">
        <v>2211</v>
      </c>
      <c r="D61">
        <v>0</v>
      </c>
      <c r="E61">
        <v>2211</v>
      </c>
      <c r="F61">
        <v>0</v>
      </c>
      <c r="G61">
        <v>2211</v>
      </c>
      <c r="H61">
        <v>0</v>
      </c>
      <c r="I61">
        <v>2211</v>
      </c>
      <c r="J61">
        <v>0</v>
      </c>
      <c r="K61">
        <v>2211</v>
      </c>
      <c r="L61">
        <v>0</v>
      </c>
      <c r="M61">
        <v>2211</v>
      </c>
      <c r="N61">
        <v>0</v>
      </c>
      <c r="O61">
        <v>2211</v>
      </c>
      <c r="P61">
        <v>0</v>
      </c>
      <c r="Q61">
        <v>2211</v>
      </c>
      <c r="R61">
        <v>0</v>
      </c>
      <c r="T61">
        <v>2211</v>
      </c>
      <c r="U61">
        <f t="shared" si="0"/>
        <v>0</v>
      </c>
      <c r="V61">
        <f t="shared" si="1"/>
        <v>0</v>
      </c>
      <c r="W61">
        <f t="shared" si="2"/>
        <v>0</v>
      </c>
    </row>
    <row r="62" spans="1:23">
      <c r="A62">
        <v>2571</v>
      </c>
      <c r="B62">
        <v>0</v>
      </c>
      <c r="C62">
        <v>2571</v>
      </c>
      <c r="D62">
        <v>0</v>
      </c>
      <c r="E62">
        <v>2571</v>
      </c>
      <c r="F62">
        <v>0</v>
      </c>
      <c r="G62">
        <v>2571</v>
      </c>
      <c r="H62">
        <v>0</v>
      </c>
      <c r="I62">
        <v>2571</v>
      </c>
      <c r="J62">
        <v>0</v>
      </c>
      <c r="K62">
        <v>2571</v>
      </c>
      <c r="L62">
        <v>0</v>
      </c>
      <c r="M62">
        <v>2571</v>
      </c>
      <c r="N62">
        <v>0</v>
      </c>
      <c r="O62">
        <v>2571</v>
      </c>
      <c r="P62">
        <v>0</v>
      </c>
      <c r="Q62">
        <v>2571</v>
      </c>
      <c r="R62">
        <v>0</v>
      </c>
      <c r="T62">
        <v>2571</v>
      </c>
      <c r="U62">
        <f t="shared" si="0"/>
        <v>0</v>
      </c>
      <c r="V62">
        <f t="shared" si="1"/>
        <v>0</v>
      </c>
      <c r="W62">
        <f t="shared" si="2"/>
        <v>0</v>
      </c>
    </row>
    <row r="63" spans="1:23">
      <c r="A63">
        <v>2990</v>
      </c>
      <c r="B63">
        <v>0</v>
      </c>
      <c r="C63">
        <v>2990</v>
      </c>
      <c r="D63">
        <v>0</v>
      </c>
      <c r="E63">
        <v>2990</v>
      </c>
      <c r="F63">
        <v>0</v>
      </c>
      <c r="G63">
        <v>2990</v>
      </c>
      <c r="H63">
        <v>0</v>
      </c>
      <c r="I63">
        <v>2990</v>
      </c>
      <c r="J63">
        <v>0</v>
      </c>
      <c r="K63">
        <v>2990</v>
      </c>
      <c r="L63">
        <v>0</v>
      </c>
      <c r="M63">
        <v>2990</v>
      </c>
      <c r="N63">
        <v>0</v>
      </c>
      <c r="O63">
        <v>2990</v>
      </c>
      <c r="P63">
        <v>0</v>
      </c>
      <c r="Q63">
        <v>2990</v>
      </c>
      <c r="R63">
        <v>0</v>
      </c>
      <c r="T63">
        <v>2990</v>
      </c>
      <c r="U63">
        <f t="shared" si="0"/>
        <v>0</v>
      </c>
      <c r="V63">
        <f t="shared" si="1"/>
        <v>0</v>
      </c>
      <c r="W63">
        <f t="shared" si="2"/>
        <v>0</v>
      </c>
    </row>
    <row r="64" spans="1:23">
      <c r="A64">
        <v>3477</v>
      </c>
      <c r="B64">
        <v>0</v>
      </c>
      <c r="C64">
        <v>3477</v>
      </c>
      <c r="D64">
        <v>0</v>
      </c>
      <c r="E64">
        <v>3477</v>
      </c>
      <c r="F64">
        <v>0</v>
      </c>
      <c r="G64">
        <v>3477</v>
      </c>
      <c r="H64">
        <v>0</v>
      </c>
      <c r="I64">
        <v>3477</v>
      </c>
      <c r="J64">
        <v>0</v>
      </c>
      <c r="K64">
        <v>3477</v>
      </c>
      <c r="L64">
        <v>0</v>
      </c>
      <c r="M64">
        <v>3477</v>
      </c>
      <c r="N64">
        <v>0</v>
      </c>
      <c r="O64">
        <v>3477</v>
      </c>
      <c r="P64">
        <v>0</v>
      </c>
      <c r="Q64">
        <v>3477</v>
      </c>
      <c r="R64">
        <v>0</v>
      </c>
      <c r="T64">
        <v>3477</v>
      </c>
      <c r="U64">
        <f t="shared" si="0"/>
        <v>0</v>
      </c>
      <c r="V64">
        <f t="shared" si="1"/>
        <v>0</v>
      </c>
      <c r="W64">
        <f t="shared" si="2"/>
        <v>0</v>
      </c>
    </row>
    <row r="65" spans="1:23">
      <c r="A65">
        <v>4043</v>
      </c>
      <c r="B65">
        <v>0</v>
      </c>
      <c r="C65">
        <v>4043</v>
      </c>
      <c r="D65">
        <v>0</v>
      </c>
      <c r="E65">
        <v>4043</v>
      </c>
      <c r="F65">
        <v>0</v>
      </c>
      <c r="G65">
        <v>4043</v>
      </c>
      <c r="H65">
        <v>0</v>
      </c>
      <c r="I65">
        <v>4043</v>
      </c>
      <c r="J65">
        <v>0</v>
      </c>
      <c r="K65">
        <v>4043</v>
      </c>
      <c r="L65">
        <v>0</v>
      </c>
      <c r="M65">
        <v>4043</v>
      </c>
      <c r="N65">
        <v>0</v>
      </c>
      <c r="O65">
        <v>4043</v>
      </c>
      <c r="P65">
        <v>0</v>
      </c>
      <c r="Q65">
        <v>4043</v>
      </c>
      <c r="R65">
        <v>0</v>
      </c>
      <c r="T65">
        <v>4043</v>
      </c>
      <c r="U65">
        <f t="shared" si="0"/>
        <v>0</v>
      </c>
      <c r="V65">
        <f t="shared" si="1"/>
        <v>0</v>
      </c>
      <c r="W65">
        <f t="shared" si="2"/>
        <v>0</v>
      </c>
    </row>
    <row r="66" spans="1:23">
      <c r="A66">
        <v>4702</v>
      </c>
      <c r="B66">
        <v>0</v>
      </c>
      <c r="C66">
        <v>4702</v>
      </c>
      <c r="D66">
        <v>0</v>
      </c>
      <c r="E66">
        <v>4702</v>
      </c>
      <c r="F66">
        <v>0</v>
      </c>
      <c r="G66">
        <v>4702</v>
      </c>
      <c r="H66">
        <v>0</v>
      </c>
      <c r="I66">
        <v>4702</v>
      </c>
      <c r="J66">
        <v>0</v>
      </c>
      <c r="K66">
        <v>4702</v>
      </c>
      <c r="L66">
        <v>0</v>
      </c>
      <c r="M66">
        <v>4702</v>
      </c>
      <c r="N66">
        <v>0</v>
      </c>
      <c r="O66">
        <v>4702</v>
      </c>
      <c r="P66">
        <v>0</v>
      </c>
      <c r="Q66">
        <v>4702</v>
      </c>
      <c r="R66">
        <v>0</v>
      </c>
      <c r="T66">
        <v>4702</v>
      </c>
      <c r="U66">
        <f t="shared" si="0"/>
        <v>0</v>
      </c>
      <c r="V66">
        <f t="shared" si="1"/>
        <v>0</v>
      </c>
      <c r="W66">
        <f t="shared" si="2"/>
        <v>0</v>
      </c>
    </row>
    <row r="67" spans="1:23">
      <c r="A67">
        <v>5468</v>
      </c>
      <c r="B67">
        <v>0</v>
      </c>
      <c r="C67">
        <v>5468</v>
      </c>
      <c r="D67">
        <v>0</v>
      </c>
      <c r="E67">
        <v>5468</v>
      </c>
      <c r="F67">
        <v>0</v>
      </c>
      <c r="G67">
        <v>5468</v>
      </c>
      <c r="H67">
        <v>0</v>
      </c>
      <c r="I67">
        <v>5468</v>
      </c>
      <c r="J67">
        <v>0</v>
      </c>
      <c r="K67">
        <v>5468</v>
      </c>
      <c r="L67">
        <v>0</v>
      </c>
      <c r="M67">
        <v>5468</v>
      </c>
      <c r="N67">
        <v>0</v>
      </c>
      <c r="O67">
        <v>5468</v>
      </c>
      <c r="P67">
        <v>0</v>
      </c>
      <c r="Q67">
        <v>5468</v>
      </c>
      <c r="R67">
        <v>0</v>
      </c>
      <c r="T67">
        <v>5468</v>
      </c>
      <c r="U67">
        <f>AVERAGE(B67,D67,F67)</f>
        <v>0</v>
      </c>
      <c r="V67">
        <f>AVERAGE(H67,J67,L67)</f>
        <v>0</v>
      </c>
      <c r="W67">
        <f>AVERAGE(N67,P67,R67)</f>
        <v>0</v>
      </c>
    </row>
    <row r="68" spans="1:23">
      <c r="A68">
        <v>6358</v>
      </c>
      <c r="B68">
        <v>0</v>
      </c>
      <c r="C68">
        <v>6358</v>
      </c>
      <c r="D68">
        <v>0</v>
      </c>
      <c r="E68">
        <v>6358</v>
      </c>
      <c r="F68">
        <v>0</v>
      </c>
      <c r="G68">
        <v>6358</v>
      </c>
      <c r="H68">
        <v>0</v>
      </c>
      <c r="I68">
        <v>6358</v>
      </c>
      <c r="J68">
        <v>0</v>
      </c>
      <c r="K68">
        <v>6358</v>
      </c>
      <c r="L68">
        <v>0</v>
      </c>
      <c r="M68">
        <v>6358</v>
      </c>
      <c r="N68">
        <v>0</v>
      </c>
      <c r="O68">
        <v>6358</v>
      </c>
      <c r="P68">
        <v>0</v>
      </c>
      <c r="Q68">
        <v>6358</v>
      </c>
      <c r="R68">
        <v>0</v>
      </c>
      <c r="T68">
        <v>6358</v>
      </c>
      <c r="U68">
        <f>AVERAGE(B68,D68,F68)</f>
        <v>0</v>
      </c>
      <c r="V68">
        <f>AVERAGE(H68,J68,L68)</f>
        <v>0</v>
      </c>
      <c r="W68">
        <f>AVERAGE(N68,P68,R68)</f>
        <v>0</v>
      </c>
    </row>
    <row r="69" spans="1:23">
      <c r="A69">
        <v>7394</v>
      </c>
      <c r="B69">
        <v>0</v>
      </c>
      <c r="C69">
        <v>7394</v>
      </c>
      <c r="D69">
        <v>0</v>
      </c>
      <c r="E69">
        <v>7394</v>
      </c>
      <c r="F69">
        <v>0</v>
      </c>
      <c r="G69">
        <v>7394</v>
      </c>
      <c r="H69">
        <v>0</v>
      </c>
      <c r="I69">
        <v>7394</v>
      </c>
      <c r="J69">
        <v>0</v>
      </c>
      <c r="K69">
        <v>7394</v>
      </c>
      <c r="L69">
        <v>0</v>
      </c>
      <c r="M69">
        <v>7394</v>
      </c>
      <c r="N69">
        <v>0</v>
      </c>
      <c r="O69">
        <v>7394</v>
      </c>
      <c r="P69">
        <v>0</v>
      </c>
      <c r="Q69">
        <v>7394</v>
      </c>
      <c r="R69">
        <v>0</v>
      </c>
      <c r="T69">
        <v>7394</v>
      </c>
      <c r="U69">
        <f>AVERAGE(B69,D69,F69)</f>
        <v>0</v>
      </c>
      <c r="V69">
        <f>AVERAGE(H69,J69,L69)</f>
        <v>0</v>
      </c>
      <c r="W69">
        <f>AVERAGE(N69,P69,R69)</f>
        <v>0</v>
      </c>
    </row>
    <row r="70" spans="1:23">
      <c r="A70">
        <v>8599</v>
      </c>
      <c r="B70">
        <v>0</v>
      </c>
      <c r="C70">
        <v>8599</v>
      </c>
      <c r="D70">
        <v>0</v>
      </c>
      <c r="E70">
        <v>8599</v>
      </c>
      <c r="F70">
        <v>0</v>
      </c>
      <c r="G70">
        <v>8599</v>
      </c>
      <c r="H70">
        <v>0</v>
      </c>
      <c r="I70">
        <v>8599</v>
      </c>
      <c r="J70">
        <v>0</v>
      </c>
      <c r="K70">
        <v>8599</v>
      </c>
      <c r="L70">
        <v>0</v>
      </c>
      <c r="M70">
        <v>8599</v>
      </c>
      <c r="N70">
        <v>0</v>
      </c>
      <c r="O70">
        <v>8599</v>
      </c>
      <c r="P70">
        <v>0</v>
      </c>
      <c r="Q70">
        <v>8599</v>
      </c>
      <c r="R70">
        <v>0</v>
      </c>
      <c r="T70">
        <v>8599</v>
      </c>
      <c r="U70">
        <f>AVERAGE(B70,D70,F70)</f>
        <v>0</v>
      </c>
      <c r="V70">
        <f>AVERAGE(H70,J70,L70)</f>
        <v>0</v>
      </c>
      <c r="W70">
        <f>AVERAGE(N70,P70,R70)</f>
        <v>0</v>
      </c>
    </row>
    <row r="71" spans="1:23">
      <c r="A71" s="1">
        <v>10000</v>
      </c>
      <c r="B71">
        <v>0</v>
      </c>
      <c r="C71" s="1">
        <v>10000</v>
      </c>
      <c r="D71">
        <v>0</v>
      </c>
      <c r="E71" s="1">
        <v>10000</v>
      </c>
      <c r="F71">
        <v>0</v>
      </c>
      <c r="G71" s="1">
        <v>10000</v>
      </c>
      <c r="H71">
        <v>0</v>
      </c>
      <c r="I71" s="1">
        <v>10000</v>
      </c>
      <c r="J71">
        <v>0</v>
      </c>
      <c r="K71" s="1">
        <v>10000</v>
      </c>
      <c r="L71">
        <v>0</v>
      </c>
      <c r="M71" s="1">
        <v>10000</v>
      </c>
      <c r="N71">
        <v>0</v>
      </c>
      <c r="O71" s="1">
        <v>10000</v>
      </c>
      <c r="P71">
        <v>0</v>
      </c>
      <c r="Q71" s="1">
        <v>10000</v>
      </c>
      <c r="R71">
        <v>0</v>
      </c>
      <c r="T71">
        <v>10000</v>
      </c>
      <c r="U71">
        <f>AVERAGE(B71,D71,F71)</f>
        <v>0</v>
      </c>
      <c r="V71">
        <f>AVERAGE(H71,J71,L71)</f>
        <v>0</v>
      </c>
      <c r="W71">
        <f>AVERAGE(N71,P71,R71)</f>
        <v>0</v>
      </c>
    </row>
    <row r="73" spans="1:23">
      <c r="A73" t="s">
        <v>37</v>
      </c>
      <c r="H73" t="s">
        <v>99</v>
      </c>
      <c r="I73" t="s">
        <v>100</v>
      </c>
      <c r="J73" t="s">
        <v>101</v>
      </c>
    </row>
    <row r="74" spans="1:23">
      <c r="A74" s="2" t="s">
        <v>102</v>
      </c>
      <c r="B74" s="2">
        <v>251.4</v>
      </c>
      <c r="C74" s="2">
        <v>1.575</v>
      </c>
      <c r="D74" s="2">
        <v>0.62629999999999997</v>
      </c>
      <c r="E74" s="2">
        <v>249.7</v>
      </c>
      <c r="F74" s="2">
        <v>252.8</v>
      </c>
      <c r="H74" s="2">
        <v>251.8</v>
      </c>
      <c r="I74" s="2">
        <v>249.7</v>
      </c>
      <c r="J74" s="2">
        <v>252.8</v>
      </c>
    </row>
    <row r="75" spans="1:23" ht="31.5">
      <c r="A75" s="2" t="s">
        <v>103</v>
      </c>
      <c r="B75" s="2">
        <v>0.18890000000000001</v>
      </c>
      <c r="C75" s="2">
        <v>5.5459999999999997E-3</v>
      </c>
      <c r="D75" s="2">
        <v>2.9369999999999998</v>
      </c>
      <c r="E75" s="2">
        <v>0.18290000000000001</v>
      </c>
      <c r="F75" s="2">
        <v>0.1938</v>
      </c>
      <c r="H75" s="2">
        <v>273.3</v>
      </c>
      <c r="I75" s="2">
        <v>291.39999999999998</v>
      </c>
      <c r="J75" s="2">
        <v>276.10000000000002</v>
      </c>
    </row>
    <row r="76" spans="1:23" ht="31.5">
      <c r="A76" s="2" t="s">
        <v>104</v>
      </c>
      <c r="B76" s="2">
        <v>253.2</v>
      </c>
      <c r="C76" s="2">
        <v>2.177</v>
      </c>
      <c r="D76" s="2">
        <v>0.85970000000000002</v>
      </c>
      <c r="E76" s="2">
        <v>250.7</v>
      </c>
      <c r="F76" s="2">
        <v>254.8</v>
      </c>
      <c r="H76" s="2">
        <v>347.8</v>
      </c>
      <c r="I76" s="2">
        <v>339.1</v>
      </c>
      <c r="J76" s="2">
        <v>347.5</v>
      </c>
    </row>
    <row r="77" spans="1:23" ht="31.5">
      <c r="A77" s="2" t="s">
        <v>105</v>
      </c>
      <c r="B77" s="2">
        <v>100</v>
      </c>
      <c r="C77" s="2">
        <v>0</v>
      </c>
      <c r="D77" s="2">
        <v>0</v>
      </c>
      <c r="E77" s="2">
        <v>100</v>
      </c>
      <c r="F77" s="2">
        <v>100</v>
      </c>
    </row>
    <row r="79" spans="1:23">
      <c r="A79" s="2" t="s">
        <v>38</v>
      </c>
    </row>
    <row r="80" spans="1:23">
      <c r="A80" s="2" t="s">
        <v>102</v>
      </c>
      <c r="B80" s="2">
        <v>295.2</v>
      </c>
      <c r="C80" s="2">
        <v>14.34</v>
      </c>
      <c r="D80" s="2">
        <v>4.8570000000000002</v>
      </c>
      <c r="E80" s="2">
        <v>278.8</v>
      </c>
      <c r="F80" s="2">
        <v>305.3</v>
      </c>
    </row>
    <row r="81" spans="1:6" ht="31.5">
      <c r="A81" s="2" t="s">
        <v>103</v>
      </c>
      <c r="B81" s="2">
        <v>0.3876</v>
      </c>
      <c r="C81" s="2">
        <v>2.8750000000000001E-2</v>
      </c>
      <c r="D81" s="2">
        <v>7.4180000000000001</v>
      </c>
      <c r="E81" s="2">
        <v>0.3548</v>
      </c>
      <c r="F81" s="2">
        <v>0.40820000000000001</v>
      </c>
    </row>
    <row r="82" spans="1:6" ht="31.5">
      <c r="A82" s="2" t="s">
        <v>104</v>
      </c>
      <c r="B82" s="2">
        <v>208.7</v>
      </c>
      <c r="C82" s="2">
        <v>9.9860000000000007</v>
      </c>
      <c r="D82" s="2">
        <v>4.7839999999999998</v>
      </c>
      <c r="E82" s="2">
        <v>197.5</v>
      </c>
      <c r="F82" s="2">
        <v>216.4</v>
      </c>
    </row>
    <row r="83" spans="1:6" ht="31.5">
      <c r="A83" s="2" t="s">
        <v>105</v>
      </c>
      <c r="B83" s="2">
        <v>100</v>
      </c>
      <c r="C83" s="2">
        <v>0</v>
      </c>
      <c r="D83" s="2">
        <v>0</v>
      </c>
      <c r="E83" s="2">
        <v>100</v>
      </c>
      <c r="F83" s="2">
        <v>100</v>
      </c>
    </row>
    <row r="85" spans="1:6">
      <c r="A85" s="2" t="s">
        <v>40</v>
      </c>
    </row>
    <row r="86" spans="1:6">
      <c r="A86" s="2" t="s">
        <v>102</v>
      </c>
      <c r="B86" s="2">
        <v>344.8</v>
      </c>
      <c r="C86" s="2">
        <v>4.9569999999999999</v>
      </c>
      <c r="D86" s="2">
        <v>1.4379999999999999</v>
      </c>
      <c r="E86" s="2">
        <v>339.1</v>
      </c>
      <c r="F86" s="2">
        <v>347.8</v>
      </c>
    </row>
    <row r="87" spans="1:6" ht="31.5">
      <c r="A87" s="2" t="s">
        <v>103</v>
      </c>
      <c r="B87" s="2">
        <v>0.42370000000000002</v>
      </c>
      <c r="C87" s="2">
        <v>2.512E-2</v>
      </c>
      <c r="D87" s="2">
        <v>5.9290000000000003</v>
      </c>
      <c r="E87" s="2">
        <v>0.3947</v>
      </c>
      <c r="F87" s="2">
        <v>0.43959999999999999</v>
      </c>
    </row>
    <row r="88" spans="1:6" ht="31.5">
      <c r="A88" s="2" t="s">
        <v>104</v>
      </c>
      <c r="B88" s="2">
        <v>255.1</v>
      </c>
      <c r="C88" s="2">
        <v>5.2610000000000001</v>
      </c>
      <c r="D88" s="2">
        <v>2.0619999999999998</v>
      </c>
      <c r="E88" s="2">
        <v>249.1</v>
      </c>
      <c r="F88" s="2">
        <v>258.8</v>
      </c>
    </row>
    <row r="89" spans="1:6" ht="31.5">
      <c r="A89" s="2" t="s">
        <v>105</v>
      </c>
      <c r="B89" s="2">
        <v>100</v>
      </c>
      <c r="C89" s="2">
        <v>0</v>
      </c>
      <c r="D89" s="2">
        <v>0</v>
      </c>
      <c r="E89" s="2">
        <v>100</v>
      </c>
      <c r="F89" s="2">
        <v>100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046B1-D70E-477D-A2F2-67921A5690B5}">
  <dimension ref="A1:W89"/>
  <sheetViews>
    <sheetView topLeftCell="Q1" workbookViewId="0">
      <selection activeCell="AA37" sqref="AA37"/>
    </sheetView>
  </sheetViews>
  <sheetFormatPr defaultRowHeight="15.75"/>
  <cols>
    <col min="11" max="11" width="43.44140625" bestFit="1" customWidth="1"/>
  </cols>
  <sheetData>
    <row r="1" spans="1:23">
      <c r="A1" t="s">
        <v>106</v>
      </c>
      <c r="B1" t="s">
        <v>107</v>
      </c>
      <c r="C1" t="s">
        <v>106</v>
      </c>
      <c r="D1" t="s">
        <v>107</v>
      </c>
      <c r="E1" t="s">
        <v>106</v>
      </c>
      <c r="F1" t="s">
        <v>107</v>
      </c>
      <c r="G1" t="s">
        <v>108</v>
      </c>
      <c r="H1" t="s">
        <v>109</v>
      </c>
      <c r="I1" t="s">
        <v>108</v>
      </c>
      <c r="J1" t="s">
        <v>109</v>
      </c>
      <c r="K1" t="s">
        <v>108</v>
      </c>
      <c r="L1" t="s">
        <v>109</v>
      </c>
      <c r="M1" t="s">
        <v>110</v>
      </c>
      <c r="N1" t="s">
        <v>111</v>
      </c>
      <c r="O1" t="s">
        <v>110</v>
      </c>
      <c r="P1" t="s">
        <v>111</v>
      </c>
      <c r="Q1" t="s">
        <v>110</v>
      </c>
      <c r="R1" t="s">
        <v>111</v>
      </c>
      <c r="T1" t="str" cm="1">
        <f t="array" ref="T1:T71">A1:A71</f>
        <v>Size (d.nm) - 1G_S1_2xCen_20250516_true [Steady state]</v>
      </c>
      <c r="U1" t="s">
        <v>21</v>
      </c>
      <c r="V1" t="s">
        <v>22</v>
      </c>
      <c r="W1" t="s">
        <v>23</v>
      </c>
    </row>
    <row r="2" spans="1:23">
      <c r="A2">
        <v>0.3</v>
      </c>
      <c r="B2">
        <v>0</v>
      </c>
      <c r="C2">
        <v>0.3</v>
      </c>
      <c r="D2">
        <v>0</v>
      </c>
      <c r="E2">
        <v>0.3</v>
      </c>
      <c r="F2">
        <v>0</v>
      </c>
      <c r="G2">
        <v>0.3</v>
      </c>
      <c r="H2">
        <v>0</v>
      </c>
      <c r="I2">
        <v>0.3</v>
      </c>
      <c r="J2">
        <v>0</v>
      </c>
      <c r="K2">
        <v>0.3</v>
      </c>
      <c r="L2">
        <v>0</v>
      </c>
      <c r="M2">
        <v>0.3</v>
      </c>
      <c r="N2">
        <v>0</v>
      </c>
      <c r="O2">
        <v>0.3</v>
      </c>
      <c r="P2">
        <v>0</v>
      </c>
      <c r="Q2">
        <v>0.3</v>
      </c>
      <c r="R2">
        <v>0</v>
      </c>
      <c r="T2">
        <v>0.3</v>
      </c>
      <c r="U2">
        <f>AVERAGE(B2,D2,F2)</f>
        <v>0</v>
      </c>
      <c r="V2">
        <f>AVERAGE(H2,J2,L2)</f>
        <v>0</v>
      </c>
      <c r="W2">
        <f>AVERAGE(N2,P2,R2)</f>
        <v>0</v>
      </c>
    </row>
    <row r="3" spans="1:23">
      <c r="A3">
        <v>0.34889999999999999</v>
      </c>
      <c r="B3">
        <v>0</v>
      </c>
      <c r="C3">
        <v>0.34889999999999999</v>
      </c>
      <c r="D3">
        <v>0</v>
      </c>
      <c r="E3">
        <v>0.34889999999999999</v>
      </c>
      <c r="F3">
        <v>0</v>
      </c>
      <c r="G3">
        <v>0.34889999999999999</v>
      </c>
      <c r="H3">
        <v>0</v>
      </c>
      <c r="I3">
        <v>0.34889999999999999</v>
      </c>
      <c r="J3">
        <v>0</v>
      </c>
      <c r="K3">
        <v>0.34889999999999999</v>
      </c>
      <c r="L3">
        <v>0</v>
      </c>
      <c r="M3">
        <v>0.34889999999999999</v>
      </c>
      <c r="N3">
        <v>0</v>
      </c>
      <c r="O3">
        <v>0.34889999999999999</v>
      </c>
      <c r="P3">
        <v>0</v>
      </c>
      <c r="Q3">
        <v>0.34889999999999999</v>
      </c>
      <c r="R3">
        <v>0</v>
      </c>
      <c r="T3">
        <v>0.34889999999999999</v>
      </c>
      <c r="U3">
        <f t="shared" ref="U3:U66" si="0">AVERAGE(B3,D3,F3)</f>
        <v>0</v>
      </c>
      <c r="V3">
        <f t="shared" ref="V3:V66" si="1">AVERAGE(H3,J3,L3)</f>
        <v>0</v>
      </c>
      <c r="W3">
        <f t="shared" ref="W3:W66" si="2">AVERAGE(N3,P3,R3)</f>
        <v>0</v>
      </c>
    </row>
    <row r="4" spans="1:23">
      <c r="A4">
        <v>0.40570000000000001</v>
      </c>
      <c r="B4">
        <v>0</v>
      </c>
      <c r="C4">
        <v>0.40570000000000001</v>
      </c>
      <c r="D4">
        <v>0</v>
      </c>
      <c r="E4">
        <v>0.40570000000000001</v>
      </c>
      <c r="F4">
        <v>0</v>
      </c>
      <c r="G4">
        <v>0.40570000000000001</v>
      </c>
      <c r="H4">
        <v>0</v>
      </c>
      <c r="I4">
        <v>0.40570000000000001</v>
      </c>
      <c r="J4">
        <v>0</v>
      </c>
      <c r="K4">
        <v>0.40570000000000001</v>
      </c>
      <c r="L4">
        <v>0</v>
      </c>
      <c r="M4">
        <v>0.40570000000000001</v>
      </c>
      <c r="N4">
        <v>0</v>
      </c>
      <c r="O4">
        <v>0.40570000000000001</v>
      </c>
      <c r="P4">
        <v>0</v>
      </c>
      <c r="Q4">
        <v>0.40570000000000001</v>
      </c>
      <c r="R4">
        <v>0</v>
      </c>
      <c r="T4">
        <v>0.40570000000000001</v>
      </c>
      <c r="U4">
        <f t="shared" si="0"/>
        <v>0</v>
      </c>
      <c r="V4">
        <f t="shared" si="1"/>
        <v>0</v>
      </c>
      <c r="W4">
        <f t="shared" si="2"/>
        <v>0</v>
      </c>
    </row>
    <row r="5" spans="1:23">
      <c r="A5">
        <v>0.4718</v>
      </c>
      <c r="B5">
        <v>0</v>
      </c>
      <c r="C5">
        <v>0.4718</v>
      </c>
      <c r="D5">
        <v>0</v>
      </c>
      <c r="E5">
        <v>0.4718</v>
      </c>
      <c r="F5">
        <v>0</v>
      </c>
      <c r="G5">
        <v>0.4718</v>
      </c>
      <c r="H5">
        <v>0</v>
      </c>
      <c r="I5">
        <v>0.4718</v>
      </c>
      <c r="J5">
        <v>0</v>
      </c>
      <c r="K5">
        <v>0.4718</v>
      </c>
      <c r="L5">
        <v>0</v>
      </c>
      <c r="M5">
        <v>0.4718</v>
      </c>
      <c r="N5">
        <v>0</v>
      </c>
      <c r="O5">
        <v>0.4718</v>
      </c>
      <c r="P5">
        <v>0</v>
      </c>
      <c r="Q5">
        <v>0.4718</v>
      </c>
      <c r="R5">
        <v>0</v>
      </c>
      <c r="T5">
        <v>0.4718</v>
      </c>
      <c r="U5">
        <f t="shared" si="0"/>
        <v>0</v>
      </c>
      <c r="V5">
        <f t="shared" si="1"/>
        <v>0</v>
      </c>
      <c r="W5">
        <f t="shared" si="2"/>
        <v>0</v>
      </c>
    </row>
    <row r="6" spans="1:23">
      <c r="A6">
        <v>0.54869999999999997</v>
      </c>
      <c r="B6">
        <v>0</v>
      </c>
      <c r="C6">
        <v>0.54869999999999997</v>
      </c>
      <c r="D6">
        <v>0</v>
      </c>
      <c r="E6">
        <v>0.54869999999999997</v>
      </c>
      <c r="F6">
        <v>0</v>
      </c>
      <c r="G6">
        <v>0.54869999999999997</v>
      </c>
      <c r="H6">
        <v>0</v>
      </c>
      <c r="I6">
        <v>0.54869999999999997</v>
      </c>
      <c r="J6">
        <v>0</v>
      </c>
      <c r="K6">
        <v>0.54869999999999997</v>
      </c>
      <c r="L6">
        <v>0</v>
      </c>
      <c r="M6">
        <v>0.54869999999999997</v>
      </c>
      <c r="N6">
        <v>0</v>
      </c>
      <c r="O6">
        <v>0.54869999999999997</v>
      </c>
      <c r="P6">
        <v>0</v>
      </c>
      <c r="Q6">
        <v>0.54869999999999997</v>
      </c>
      <c r="R6">
        <v>0</v>
      </c>
      <c r="T6">
        <v>0.54869999999999997</v>
      </c>
      <c r="U6">
        <f t="shared" si="0"/>
        <v>0</v>
      </c>
      <c r="V6">
        <f t="shared" si="1"/>
        <v>0</v>
      </c>
      <c r="W6">
        <f t="shared" si="2"/>
        <v>0</v>
      </c>
    </row>
    <row r="7" spans="1:23">
      <c r="A7">
        <v>0.6381</v>
      </c>
      <c r="B7">
        <v>0</v>
      </c>
      <c r="C7">
        <v>0.6381</v>
      </c>
      <c r="D7">
        <v>0</v>
      </c>
      <c r="E7">
        <v>0.6381</v>
      </c>
      <c r="F7">
        <v>0</v>
      </c>
      <c r="G7">
        <v>0.6381</v>
      </c>
      <c r="H7">
        <v>0</v>
      </c>
      <c r="I7">
        <v>0.6381</v>
      </c>
      <c r="J7">
        <v>0</v>
      </c>
      <c r="K7">
        <v>0.6381</v>
      </c>
      <c r="L7">
        <v>0</v>
      </c>
      <c r="M7">
        <v>0.6381</v>
      </c>
      <c r="N7">
        <v>0</v>
      </c>
      <c r="O7">
        <v>0.6381</v>
      </c>
      <c r="P7">
        <v>0</v>
      </c>
      <c r="Q7">
        <v>0.6381</v>
      </c>
      <c r="R7">
        <v>0</v>
      </c>
      <c r="T7">
        <v>0.6381</v>
      </c>
      <c r="U7">
        <f t="shared" si="0"/>
        <v>0</v>
      </c>
      <c r="V7">
        <f t="shared" si="1"/>
        <v>0</v>
      </c>
      <c r="W7">
        <f t="shared" si="2"/>
        <v>0</v>
      </c>
    </row>
    <row r="8" spans="1:23">
      <c r="A8">
        <v>0.74199999999999999</v>
      </c>
      <c r="B8">
        <v>0</v>
      </c>
      <c r="C8">
        <v>0.74199999999999999</v>
      </c>
      <c r="D8">
        <v>0</v>
      </c>
      <c r="E8">
        <v>0.74199999999999999</v>
      </c>
      <c r="F8">
        <v>0</v>
      </c>
      <c r="G8">
        <v>0.74199999999999999</v>
      </c>
      <c r="H8">
        <v>0</v>
      </c>
      <c r="I8">
        <v>0.74199999999999999</v>
      </c>
      <c r="J8">
        <v>0</v>
      </c>
      <c r="K8">
        <v>0.74199999999999999</v>
      </c>
      <c r="L8">
        <v>0</v>
      </c>
      <c r="M8">
        <v>0.74199999999999999</v>
      </c>
      <c r="N8">
        <v>0</v>
      </c>
      <c r="O8">
        <v>0.74199999999999999</v>
      </c>
      <c r="P8">
        <v>0</v>
      </c>
      <c r="Q8">
        <v>0.74199999999999999</v>
      </c>
      <c r="R8">
        <v>0</v>
      </c>
      <c r="T8">
        <v>0.74199999999999999</v>
      </c>
      <c r="U8">
        <f t="shared" si="0"/>
        <v>0</v>
      </c>
      <c r="V8">
        <f t="shared" si="1"/>
        <v>0</v>
      </c>
      <c r="W8">
        <f t="shared" si="2"/>
        <v>0</v>
      </c>
    </row>
    <row r="9" spans="1:23">
      <c r="A9">
        <v>0.8629</v>
      </c>
      <c r="B9">
        <v>0</v>
      </c>
      <c r="C9">
        <v>0.8629</v>
      </c>
      <c r="D9">
        <v>0</v>
      </c>
      <c r="E9">
        <v>0.8629</v>
      </c>
      <c r="F9">
        <v>0</v>
      </c>
      <c r="G9">
        <v>0.8629</v>
      </c>
      <c r="H9">
        <v>0</v>
      </c>
      <c r="I9">
        <v>0.8629</v>
      </c>
      <c r="J9">
        <v>0</v>
      </c>
      <c r="K9">
        <v>0.8629</v>
      </c>
      <c r="L9">
        <v>0</v>
      </c>
      <c r="M9">
        <v>0.8629</v>
      </c>
      <c r="N9">
        <v>0</v>
      </c>
      <c r="O9">
        <v>0.8629</v>
      </c>
      <c r="P9">
        <v>0</v>
      </c>
      <c r="Q9">
        <v>0.8629</v>
      </c>
      <c r="R9">
        <v>0</v>
      </c>
      <c r="T9">
        <v>0.8629</v>
      </c>
      <c r="U9">
        <f t="shared" si="0"/>
        <v>0</v>
      </c>
      <c r="V9">
        <f t="shared" si="1"/>
        <v>0</v>
      </c>
      <c r="W9">
        <f t="shared" si="2"/>
        <v>0</v>
      </c>
    </row>
    <row r="10" spans="1:23">
      <c r="A10">
        <v>1.0029999999999999</v>
      </c>
      <c r="B10">
        <v>0</v>
      </c>
      <c r="C10">
        <v>1.0029999999999999</v>
      </c>
      <c r="D10">
        <v>0</v>
      </c>
      <c r="E10">
        <v>1.0029999999999999</v>
      </c>
      <c r="F10">
        <v>0</v>
      </c>
      <c r="G10">
        <v>1.0029999999999999</v>
      </c>
      <c r="H10">
        <v>0</v>
      </c>
      <c r="I10">
        <v>1.0029999999999999</v>
      </c>
      <c r="J10">
        <v>0</v>
      </c>
      <c r="K10">
        <v>1.0029999999999999</v>
      </c>
      <c r="L10">
        <v>0</v>
      </c>
      <c r="M10">
        <v>1.0029999999999999</v>
      </c>
      <c r="N10">
        <v>0</v>
      </c>
      <c r="O10">
        <v>1.0029999999999999</v>
      </c>
      <c r="P10">
        <v>0</v>
      </c>
      <c r="Q10">
        <v>1.0029999999999999</v>
      </c>
      <c r="R10">
        <v>0</v>
      </c>
      <c r="T10">
        <v>1.0029999999999999</v>
      </c>
      <c r="U10">
        <f t="shared" si="0"/>
        <v>0</v>
      </c>
      <c r="V10">
        <f t="shared" si="1"/>
        <v>0</v>
      </c>
      <c r="W10">
        <f t="shared" si="2"/>
        <v>0</v>
      </c>
    </row>
    <row r="11" spans="1:23">
      <c r="A11">
        <v>1.167</v>
      </c>
      <c r="B11">
        <v>0</v>
      </c>
      <c r="C11">
        <v>1.167</v>
      </c>
      <c r="D11">
        <v>0</v>
      </c>
      <c r="E11">
        <v>1.167</v>
      </c>
      <c r="F11">
        <v>0</v>
      </c>
      <c r="G11">
        <v>1.167</v>
      </c>
      <c r="H11">
        <v>0</v>
      </c>
      <c r="I11">
        <v>1.167</v>
      </c>
      <c r="J11">
        <v>0</v>
      </c>
      <c r="K11">
        <v>1.167</v>
      </c>
      <c r="L11">
        <v>0</v>
      </c>
      <c r="M11">
        <v>1.167</v>
      </c>
      <c r="N11">
        <v>0</v>
      </c>
      <c r="O11">
        <v>1.167</v>
      </c>
      <c r="P11">
        <v>0</v>
      </c>
      <c r="Q11">
        <v>1.167</v>
      </c>
      <c r="R11">
        <v>0</v>
      </c>
      <c r="T11">
        <v>1.167</v>
      </c>
      <c r="U11">
        <f t="shared" si="0"/>
        <v>0</v>
      </c>
      <c r="V11">
        <f t="shared" si="1"/>
        <v>0</v>
      </c>
      <c r="W11">
        <f t="shared" si="2"/>
        <v>0</v>
      </c>
    </row>
    <row r="12" spans="1:23">
      <c r="A12">
        <v>1.357</v>
      </c>
      <c r="B12">
        <v>0</v>
      </c>
      <c r="C12">
        <v>1.357</v>
      </c>
      <c r="D12">
        <v>0</v>
      </c>
      <c r="E12">
        <v>1.357</v>
      </c>
      <c r="F12">
        <v>0</v>
      </c>
      <c r="G12">
        <v>1.357</v>
      </c>
      <c r="H12">
        <v>0</v>
      </c>
      <c r="I12">
        <v>1.357</v>
      </c>
      <c r="J12">
        <v>0</v>
      </c>
      <c r="K12">
        <v>1.357</v>
      </c>
      <c r="L12">
        <v>0</v>
      </c>
      <c r="M12">
        <v>1.357</v>
      </c>
      <c r="N12">
        <v>0</v>
      </c>
      <c r="O12">
        <v>1.357</v>
      </c>
      <c r="P12">
        <v>0</v>
      </c>
      <c r="Q12">
        <v>1.357</v>
      </c>
      <c r="R12">
        <v>0</v>
      </c>
      <c r="T12">
        <v>1.357</v>
      </c>
      <c r="U12">
        <f t="shared" si="0"/>
        <v>0</v>
      </c>
      <c r="V12">
        <f t="shared" si="1"/>
        <v>0</v>
      </c>
      <c r="W12">
        <f t="shared" si="2"/>
        <v>0</v>
      </c>
    </row>
    <row r="13" spans="1:23">
      <c r="A13">
        <v>1.5780000000000001</v>
      </c>
      <c r="B13">
        <v>0</v>
      </c>
      <c r="C13">
        <v>1.5780000000000001</v>
      </c>
      <c r="D13">
        <v>0</v>
      </c>
      <c r="E13">
        <v>1.5780000000000001</v>
      </c>
      <c r="F13">
        <v>0</v>
      </c>
      <c r="G13">
        <v>1.5780000000000001</v>
      </c>
      <c r="H13">
        <v>0</v>
      </c>
      <c r="I13">
        <v>1.5780000000000001</v>
      </c>
      <c r="J13">
        <v>0</v>
      </c>
      <c r="K13">
        <v>1.5780000000000001</v>
      </c>
      <c r="L13">
        <v>0</v>
      </c>
      <c r="M13">
        <v>1.5780000000000001</v>
      </c>
      <c r="N13">
        <v>0</v>
      </c>
      <c r="O13">
        <v>1.5780000000000001</v>
      </c>
      <c r="P13">
        <v>0</v>
      </c>
      <c r="Q13">
        <v>1.5780000000000001</v>
      </c>
      <c r="R13">
        <v>0</v>
      </c>
      <c r="T13">
        <v>1.5780000000000001</v>
      </c>
      <c r="U13">
        <f t="shared" si="0"/>
        <v>0</v>
      </c>
      <c r="V13">
        <f t="shared" si="1"/>
        <v>0</v>
      </c>
      <c r="W13">
        <f t="shared" si="2"/>
        <v>0</v>
      </c>
    </row>
    <row r="14" spans="1:23">
      <c r="A14">
        <v>1.835</v>
      </c>
      <c r="B14">
        <v>0</v>
      </c>
      <c r="C14">
        <v>1.835</v>
      </c>
      <c r="D14">
        <v>0</v>
      </c>
      <c r="E14">
        <v>1.835</v>
      </c>
      <c r="F14">
        <v>0</v>
      </c>
      <c r="G14">
        <v>1.835</v>
      </c>
      <c r="H14">
        <v>0</v>
      </c>
      <c r="I14">
        <v>1.835</v>
      </c>
      <c r="J14">
        <v>0</v>
      </c>
      <c r="K14">
        <v>1.835</v>
      </c>
      <c r="L14">
        <v>0</v>
      </c>
      <c r="M14">
        <v>1.835</v>
      </c>
      <c r="N14">
        <v>0</v>
      </c>
      <c r="O14">
        <v>1.835</v>
      </c>
      <c r="P14">
        <v>0</v>
      </c>
      <c r="Q14">
        <v>1.835</v>
      </c>
      <c r="R14">
        <v>0</v>
      </c>
      <c r="T14">
        <v>1.835</v>
      </c>
      <c r="U14">
        <f t="shared" si="0"/>
        <v>0</v>
      </c>
      <c r="V14">
        <f t="shared" si="1"/>
        <v>0</v>
      </c>
      <c r="W14">
        <f t="shared" si="2"/>
        <v>0</v>
      </c>
    </row>
    <row r="15" spans="1:23">
      <c r="A15">
        <v>2.1339999999999999</v>
      </c>
      <c r="B15">
        <v>0</v>
      </c>
      <c r="C15">
        <v>2.1339999999999999</v>
      </c>
      <c r="D15">
        <v>0</v>
      </c>
      <c r="E15">
        <v>2.1339999999999999</v>
      </c>
      <c r="F15">
        <v>0</v>
      </c>
      <c r="G15">
        <v>2.1339999999999999</v>
      </c>
      <c r="H15">
        <v>0</v>
      </c>
      <c r="I15">
        <v>2.1339999999999999</v>
      </c>
      <c r="J15">
        <v>0</v>
      </c>
      <c r="K15">
        <v>2.1339999999999999</v>
      </c>
      <c r="L15">
        <v>0</v>
      </c>
      <c r="M15">
        <v>2.1339999999999999</v>
      </c>
      <c r="N15">
        <v>0</v>
      </c>
      <c r="O15">
        <v>2.1339999999999999</v>
      </c>
      <c r="P15">
        <v>0</v>
      </c>
      <c r="Q15">
        <v>2.1339999999999999</v>
      </c>
      <c r="R15">
        <v>0</v>
      </c>
      <c r="T15">
        <v>2.1339999999999999</v>
      </c>
      <c r="U15">
        <f t="shared" si="0"/>
        <v>0</v>
      </c>
      <c r="V15">
        <f t="shared" si="1"/>
        <v>0</v>
      </c>
      <c r="W15">
        <f t="shared" si="2"/>
        <v>0</v>
      </c>
    </row>
    <row r="16" spans="1:23">
      <c r="A16">
        <v>2.4820000000000002</v>
      </c>
      <c r="B16">
        <v>0</v>
      </c>
      <c r="C16">
        <v>2.4820000000000002</v>
      </c>
      <c r="D16">
        <v>0</v>
      </c>
      <c r="E16">
        <v>2.4820000000000002</v>
      </c>
      <c r="F16">
        <v>0</v>
      </c>
      <c r="G16">
        <v>2.4820000000000002</v>
      </c>
      <c r="H16">
        <v>0</v>
      </c>
      <c r="I16">
        <v>2.4820000000000002</v>
      </c>
      <c r="J16">
        <v>0</v>
      </c>
      <c r="K16">
        <v>2.4820000000000002</v>
      </c>
      <c r="L16">
        <v>0</v>
      </c>
      <c r="M16">
        <v>2.4820000000000002</v>
      </c>
      <c r="N16">
        <v>0</v>
      </c>
      <c r="O16">
        <v>2.4820000000000002</v>
      </c>
      <c r="P16">
        <v>0</v>
      </c>
      <c r="Q16">
        <v>2.4820000000000002</v>
      </c>
      <c r="R16">
        <v>0</v>
      </c>
      <c r="T16">
        <v>2.4820000000000002</v>
      </c>
      <c r="U16">
        <f t="shared" si="0"/>
        <v>0</v>
      </c>
      <c r="V16">
        <f t="shared" si="1"/>
        <v>0</v>
      </c>
      <c r="W16">
        <f t="shared" si="2"/>
        <v>0</v>
      </c>
    </row>
    <row r="17" spans="1:23">
      <c r="A17">
        <v>2.8860000000000001</v>
      </c>
      <c r="B17">
        <v>0</v>
      </c>
      <c r="C17">
        <v>2.8860000000000001</v>
      </c>
      <c r="D17">
        <v>0</v>
      </c>
      <c r="E17">
        <v>2.8860000000000001</v>
      </c>
      <c r="F17">
        <v>0</v>
      </c>
      <c r="G17">
        <v>2.8860000000000001</v>
      </c>
      <c r="H17">
        <v>0</v>
      </c>
      <c r="I17">
        <v>2.8860000000000001</v>
      </c>
      <c r="J17">
        <v>0</v>
      </c>
      <c r="K17">
        <v>2.8860000000000001</v>
      </c>
      <c r="L17">
        <v>0</v>
      </c>
      <c r="M17">
        <v>2.8860000000000001</v>
      </c>
      <c r="N17">
        <v>0</v>
      </c>
      <c r="O17">
        <v>2.8860000000000001</v>
      </c>
      <c r="P17">
        <v>0</v>
      </c>
      <c r="Q17">
        <v>2.8860000000000001</v>
      </c>
      <c r="R17">
        <v>0</v>
      </c>
      <c r="T17">
        <v>2.8860000000000001</v>
      </c>
      <c r="U17">
        <f t="shared" si="0"/>
        <v>0</v>
      </c>
      <c r="V17">
        <f t="shared" si="1"/>
        <v>0</v>
      </c>
      <c r="W17">
        <f t="shared" si="2"/>
        <v>0</v>
      </c>
    </row>
    <row r="18" spans="1:23">
      <c r="A18">
        <v>3.3570000000000002</v>
      </c>
      <c r="B18">
        <v>0</v>
      </c>
      <c r="C18">
        <v>3.3570000000000002</v>
      </c>
      <c r="D18">
        <v>0</v>
      </c>
      <c r="E18">
        <v>3.3570000000000002</v>
      </c>
      <c r="F18">
        <v>0</v>
      </c>
      <c r="G18">
        <v>3.3570000000000002</v>
      </c>
      <c r="H18">
        <v>0</v>
      </c>
      <c r="I18">
        <v>3.3570000000000002</v>
      </c>
      <c r="J18">
        <v>0</v>
      </c>
      <c r="K18">
        <v>3.3570000000000002</v>
      </c>
      <c r="L18">
        <v>0</v>
      </c>
      <c r="M18">
        <v>3.3570000000000002</v>
      </c>
      <c r="N18">
        <v>0</v>
      </c>
      <c r="O18">
        <v>3.3570000000000002</v>
      </c>
      <c r="P18">
        <v>0</v>
      </c>
      <c r="Q18">
        <v>3.3570000000000002</v>
      </c>
      <c r="R18">
        <v>0</v>
      </c>
      <c r="T18">
        <v>3.3570000000000002</v>
      </c>
      <c r="U18">
        <f t="shared" si="0"/>
        <v>0</v>
      </c>
      <c r="V18">
        <f t="shared" si="1"/>
        <v>0</v>
      </c>
      <c r="W18">
        <f t="shared" si="2"/>
        <v>0</v>
      </c>
    </row>
    <row r="19" spans="1:23">
      <c r="A19">
        <v>3.903</v>
      </c>
      <c r="B19">
        <v>0</v>
      </c>
      <c r="C19">
        <v>3.903</v>
      </c>
      <c r="D19">
        <v>0</v>
      </c>
      <c r="E19">
        <v>3.903</v>
      </c>
      <c r="F19">
        <v>0</v>
      </c>
      <c r="G19">
        <v>3.903</v>
      </c>
      <c r="H19">
        <v>0</v>
      </c>
      <c r="I19">
        <v>3.903</v>
      </c>
      <c r="J19">
        <v>0</v>
      </c>
      <c r="K19">
        <v>3.903</v>
      </c>
      <c r="L19">
        <v>0</v>
      </c>
      <c r="M19">
        <v>3.903</v>
      </c>
      <c r="N19">
        <v>0</v>
      </c>
      <c r="O19">
        <v>3.903</v>
      </c>
      <c r="P19">
        <v>0</v>
      </c>
      <c r="Q19">
        <v>3.903</v>
      </c>
      <c r="R19">
        <v>0</v>
      </c>
      <c r="T19">
        <v>3.903</v>
      </c>
      <c r="U19">
        <f t="shared" si="0"/>
        <v>0</v>
      </c>
      <c r="V19">
        <f t="shared" si="1"/>
        <v>0</v>
      </c>
      <c r="W19">
        <f t="shared" si="2"/>
        <v>0</v>
      </c>
    </row>
    <row r="20" spans="1:23">
      <c r="A20">
        <v>4.5389999999999997</v>
      </c>
      <c r="B20">
        <v>0</v>
      </c>
      <c r="C20">
        <v>4.5389999999999997</v>
      </c>
      <c r="D20">
        <v>0</v>
      </c>
      <c r="E20">
        <v>4.5389999999999997</v>
      </c>
      <c r="F20">
        <v>0</v>
      </c>
      <c r="G20">
        <v>4.5389999999999997</v>
      </c>
      <c r="H20">
        <v>0</v>
      </c>
      <c r="I20">
        <v>4.5389999999999997</v>
      </c>
      <c r="J20">
        <v>0</v>
      </c>
      <c r="K20">
        <v>4.5389999999999997</v>
      </c>
      <c r="L20">
        <v>0</v>
      </c>
      <c r="M20">
        <v>4.5389999999999997</v>
      </c>
      <c r="N20">
        <v>0</v>
      </c>
      <c r="O20">
        <v>4.5389999999999997</v>
      </c>
      <c r="P20">
        <v>0</v>
      </c>
      <c r="Q20">
        <v>4.5389999999999997</v>
      </c>
      <c r="R20">
        <v>0</v>
      </c>
      <c r="T20">
        <v>4.5389999999999997</v>
      </c>
      <c r="U20">
        <f t="shared" si="0"/>
        <v>0</v>
      </c>
      <c r="V20">
        <f t="shared" si="1"/>
        <v>0</v>
      </c>
      <c r="W20">
        <f t="shared" si="2"/>
        <v>0</v>
      </c>
    </row>
    <row r="21" spans="1:23">
      <c r="A21">
        <v>5.2789999999999999</v>
      </c>
      <c r="B21">
        <v>0</v>
      </c>
      <c r="C21">
        <v>5.2789999999999999</v>
      </c>
      <c r="D21">
        <v>0</v>
      </c>
      <c r="E21">
        <v>5.2789999999999999</v>
      </c>
      <c r="F21">
        <v>0</v>
      </c>
      <c r="G21">
        <v>5.2789999999999999</v>
      </c>
      <c r="H21">
        <v>0</v>
      </c>
      <c r="I21">
        <v>5.2789999999999999</v>
      </c>
      <c r="J21">
        <v>0</v>
      </c>
      <c r="K21">
        <v>5.2789999999999999</v>
      </c>
      <c r="L21">
        <v>0</v>
      </c>
      <c r="M21">
        <v>5.2789999999999999</v>
      </c>
      <c r="N21">
        <v>0</v>
      </c>
      <c r="O21">
        <v>5.2789999999999999</v>
      </c>
      <c r="P21">
        <v>0</v>
      </c>
      <c r="Q21">
        <v>5.2789999999999999</v>
      </c>
      <c r="R21">
        <v>0</v>
      </c>
      <c r="T21">
        <v>5.2789999999999999</v>
      </c>
      <c r="U21">
        <f t="shared" si="0"/>
        <v>0</v>
      </c>
      <c r="V21">
        <f t="shared" si="1"/>
        <v>0</v>
      </c>
      <c r="W21">
        <f t="shared" si="2"/>
        <v>0</v>
      </c>
    </row>
    <row r="22" spans="1:23">
      <c r="A22">
        <v>6.1390000000000002</v>
      </c>
      <c r="B22">
        <v>0</v>
      </c>
      <c r="C22">
        <v>6.1390000000000002</v>
      </c>
      <c r="D22">
        <v>0</v>
      </c>
      <c r="E22">
        <v>6.1390000000000002</v>
      </c>
      <c r="F22">
        <v>0</v>
      </c>
      <c r="G22">
        <v>6.1390000000000002</v>
      </c>
      <c r="H22">
        <v>0</v>
      </c>
      <c r="I22">
        <v>6.1390000000000002</v>
      </c>
      <c r="J22">
        <v>0</v>
      </c>
      <c r="K22">
        <v>6.1390000000000002</v>
      </c>
      <c r="L22">
        <v>0</v>
      </c>
      <c r="M22">
        <v>6.1390000000000002</v>
      </c>
      <c r="N22">
        <v>0</v>
      </c>
      <c r="O22">
        <v>6.1390000000000002</v>
      </c>
      <c r="P22">
        <v>0</v>
      </c>
      <c r="Q22">
        <v>6.1390000000000002</v>
      </c>
      <c r="R22">
        <v>0</v>
      </c>
      <c r="T22">
        <v>6.1390000000000002</v>
      </c>
      <c r="U22">
        <f t="shared" si="0"/>
        <v>0</v>
      </c>
      <c r="V22">
        <f t="shared" si="1"/>
        <v>0</v>
      </c>
      <c r="W22">
        <f t="shared" si="2"/>
        <v>0</v>
      </c>
    </row>
    <row r="23" spans="1:23">
      <c r="A23">
        <v>7.1390000000000002</v>
      </c>
      <c r="B23">
        <v>0</v>
      </c>
      <c r="C23">
        <v>7.1390000000000002</v>
      </c>
      <c r="D23">
        <v>0</v>
      </c>
      <c r="E23">
        <v>7.1390000000000002</v>
      </c>
      <c r="F23">
        <v>0</v>
      </c>
      <c r="G23">
        <v>7.1390000000000002</v>
      </c>
      <c r="H23">
        <v>0</v>
      </c>
      <c r="I23">
        <v>7.1390000000000002</v>
      </c>
      <c r="J23">
        <v>0</v>
      </c>
      <c r="K23">
        <v>7.1390000000000002</v>
      </c>
      <c r="L23">
        <v>0</v>
      </c>
      <c r="M23">
        <v>7.1390000000000002</v>
      </c>
      <c r="N23">
        <v>0</v>
      </c>
      <c r="O23">
        <v>7.1390000000000002</v>
      </c>
      <c r="P23">
        <v>0</v>
      </c>
      <c r="Q23">
        <v>7.1390000000000002</v>
      </c>
      <c r="R23">
        <v>0</v>
      </c>
      <c r="T23">
        <v>7.1390000000000002</v>
      </c>
      <c r="U23">
        <f t="shared" si="0"/>
        <v>0</v>
      </c>
      <c r="V23">
        <f t="shared" si="1"/>
        <v>0</v>
      </c>
      <c r="W23">
        <f t="shared" si="2"/>
        <v>0</v>
      </c>
    </row>
    <row r="24" spans="1:23">
      <c r="A24">
        <v>8.3019999999999996</v>
      </c>
      <c r="B24">
        <v>0</v>
      </c>
      <c r="C24">
        <v>8.3019999999999996</v>
      </c>
      <c r="D24">
        <v>0</v>
      </c>
      <c r="E24">
        <v>8.3019999999999996</v>
      </c>
      <c r="F24">
        <v>0</v>
      </c>
      <c r="G24">
        <v>8.3019999999999996</v>
      </c>
      <c r="H24">
        <v>0</v>
      </c>
      <c r="I24">
        <v>8.3019999999999996</v>
      </c>
      <c r="J24">
        <v>0</v>
      </c>
      <c r="K24">
        <v>8.3019999999999996</v>
      </c>
      <c r="L24">
        <v>0</v>
      </c>
      <c r="M24">
        <v>8.3019999999999996</v>
      </c>
      <c r="N24">
        <v>0</v>
      </c>
      <c r="O24">
        <v>8.3019999999999996</v>
      </c>
      <c r="P24">
        <v>0</v>
      </c>
      <c r="Q24">
        <v>8.3019999999999996</v>
      </c>
      <c r="R24">
        <v>0</v>
      </c>
      <c r="T24">
        <v>8.3019999999999996</v>
      </c>
      <c r="U24">
        <f t="shared" si="0"/>
        <v>0</v>
      </c>
      <c r="V24">
        <f t="shared" si="1"/>
        <v>0</v>
      </c>
      <c r="W24">
        <f t="shared" si="2"/>
        <v>0</v>
      </c>
    </row>
    <row r="25" spans="1:23">
      <c r="A25">
        <v>9.6549999999999994</v>
      </c>
      <c r="B25">
        <v>0</v>
      </c>
      <c r="C25">
        <v>9.6549999999999994</v>
      </c>
      <c r="D25">
        <v>0</v>
      </c>
      <c r="E25">
        <v>9.6549999999999994</v>
      </c>
      <c r="F25">
        <v>0</v>
      </c>
      <c r="G25">
        <v>9.6549999999999994</v>
      </c>
      <c r="H25">
        <v>0</v>
      </c>
      <c r="I25">
        <v>9.6549999999999994</v>
      </c>
      <c r="J25">
        <v>0</v>
      </c>
      <c r="K25">
        <v>9.6549999999999994</v>
      </c>
      <c r="L25">
        <v>0</v>
      </c>
      <c r="M25">
        <v>9.6549999999999994</v>
      </c>
      <c r="N25">
        <v>0</v>
      </c>
      <c r="O25">
        <v>9.6549999999999994</v>
      </c>
      <c r="P25">
        <v>0</v>
      </c>
      <c r="Q25">
        <v>9.6549999999999994</v>
      </c>
      <c r="R25">
        <v>0</v>
      </c>
      <c r="T25">
        <v>9.6549999999999994</v>
      </c>
      <c r="U25">
        <f t="shared" si="0"/>
        <v>0</v>
      </c>
      <c r="V25">
        <f t="shared" si="1"/>
        <v>0</v>
      </c>
      <c r="W25">
        <f t="shared" si="2"/>
        <v>0</v>
      </c>
    </row>
    <row r="26" spans="1:23">
      <c r="A26">
        <v>11.23</v>
      </c>
      <c r="B26">
        <v>0</v>
      </c>
      <c r="C26">
        <v>11.23</v>
      </c>
      <c r="D26">
        <v>0</v>
      </c>
      <c r="E26">
        <v>11.23</v>
      </c>
      <c r="F26">
        <v>0</v>
      </c>
      <c r="G26">
        <v>11.23</v>
      </c>
      <c r="H26">
        <v>0</v>
      </c>
      <c r="I26">
        <v>11.23</v>
      </c>
      <c r="J26">
        <v>0</v>
      </c>
      <c r="K26">
        <v>11.23</v>
      </c>
      <c r="L26">
        <v>0</v>
      </c>
      <c r="M26">
        <v>11.23</v>
      </c>
      <c r="N26">
        <v>0</v>
      </c>
      <c r="O26">
        <v>11.23</v>
      </c>
      <c r="P26">
        <v>0</v>
      </c>
      <c r="Q26">
        <v>11.23</v>
      </c>
      <c r="R26">
        <v>0</v>
      </c>
      <c r="T26">
        <v>11.23</v>
      </c>
      <c r="U26">
        <f t="shared" si="0"/>
        <v>0</v>
      </c>
      <c r="V26">
        <f t="shared" si="1"/>
        <v>0</v>
      </c>
      <c r="W26">
        <f t="shared" si="2"/>
        <v>0</v>
      </c>
    </row>
    <row r="27" spans="1:23">
      <c r="A27">
        <v>13.06</v>
      </c>
      <c r="B27">
        <v>0</v>
      </c>
      <c r="C27">
        <v>13.06</v>
      </c>
      <c r="D27">
        <v>0</v>
      </c>
      <c r="E27">
        <v>13.06</v>
      </c>
      <c r="F27">
        <v>0</v>
      </c>
      <c r="G27">
        <v>13.06</v>
      </c>
      <c r="H27">
        <v>0</v>
      </c>
      <c r="I27">
        <v>13.06</v>
      </c>
      <c r="J27">
        <v>0</v>
      </c>
      <c r="K27">
        <v>13.06</v>
      </c>
      <c r="L27">
        <v>0</v>
      </c>
      <c r="M27">
        <v>13.06</v>
      </c>
      <c r="N27">
        <v>0</v>
      </c>
      <c r="O27">
        <v>13.06</v>
      </c>
      <c r="P27">
        <v>0</v>
      </c>
      <c r="Q27">
        <v>13.06</v>
      </c>
      <c r="R27">
        <v>0</v>
      </c>
      <c r="T27">
        <v>13.06</v>
      </c>
      <c r="U27">
        <f t="shared" si="0"/>
        <v>0</v>
      </c>
      <c r="V27">
        <f t="shared" si="1"/>
        <v>0</v>
      </c>
      <c r="W27">
        <f t="shared" si="2"/>
        <v>0</v>
      </c>
    </row>
    <row r="28" spans="1:23">
      <c r="A28">
        <v>15.18</v>
      </c>
      <c r="B28">
        <v>0</v>
      </c>
      <c r="C28">
        <v>15.18</v>
      </c>
      <c r="D28">
        <v>0</v>
      </c>
      <c r="E28">
        <v>15.18</v>
      </c>
      <c r="F28">
        <v>0</v>
      </c>
      <c r="G28">
        <v>15.18</v>
      </c>
      <c r="H28">
        <v>0</v>
      </c>
      <c r="I28">
        <v>15.18</v>
      </c>
      <c r="J28">
        <v>0</v>
      </c>
      <c r="K28">
        <v>15.18</v>
      </c>
      <c r="L28">
        <v>0</v>
      </c>
      <c r="M28">
        <v>15.18</v>
      </c>
      <c r="N28">
        <v>0</v>
      </c>
      <c r="O28">
        <v>15.18</v>
      </c>
      <c r="P28">
        <v>0</v>
      </c>
      <c r="Q28">
        <v>15.18</v>
      </c>
      <c r="R28">
        <v>0</v>
      </c>
      <c r="T28">
        <v>15.18</v>
      </c>
      <c r="U28">
        <f t="shared" si="0"/>
        <v>0</v>
      </c>
      <c r="V28">
        <f t="shared" si="1"/>
        <v>0</v>
      </c>
      <c r="W28">
        <f t="shared" si="2"/>
        <v>0</v>
      </c>
    </row>
    <row r="29" spans="1:23">
      <c r="A29">
        <v>17.66</v>
      </c>
      <c r="B29">
        <v>0</v>
      </c>
      <c r="C29">
        <v>17.66</v>
      </c>
      <c r="D29">
        <v>0</v>
      </c>
      <c r="E29">
        <v>17.66</v>
      </c>
      <c r="F29">
        <v>0</v>
      </c>
      <c r="G29">
        <v>17.66</v>
      </c>
      <c r="H29">
        <v>0</v>
      </c>
      <c r="I29">
        <v>17.66</v>
      </c>
      <c r="J29">
        <v>0</v>
      </c>
      <c r="K29">
        <v>17.66</v>
      </c>
      <c r="L29">
        <v>0</v>
      </c>
      <c r="M29">
        <v>17.66</v>
      </c>
      <c r="N29">
        <v>0</v>
      </c>
      <c r="O29">
        <v>17.66</v>
      </c>
      <c r="P29">
        <v>0</v>
      </c>
      <c r="Q29">
        <v>17.66</v>
      </c>
      <c r="R29">
        <v>0</v>
      </c>
      <c r="T29">
        <v>17.66</v>
      </c>
      <c r="U29">
        <f t="shared" si="0"/>
        <v>0</v>
      </c>
      <c r="V29">
        <f t="shared" si="1"/>
        <v>0</v>
      </c>
      <c r="W29">
        <f t="shared" si="2"/>
        <v>0</v>
      </c>
    </row>
    <row r="30" spans="1:23">
      <c r="A30">
        <v>20.53</v>
      </c>
      <c r="B30">
        <v>0</v>
      </c>
      <c r="C30">
        <v>20.53</v>
      </c>
      <c r="D30">
        <v>0</v>
      </c>
      <c r="E30">
        <v>20.53</v>
      </c>
      <c r="F30">
        <v>0</v>
      </c>
      <c r="G30">
        <v>20.53</v>
      </c>
      <c r="H30">
        <v>0</v>
      </c>
      <c r="I30">
        <v>20.53</v>
      </c>
      <c r="J30">
        <v>0</v>
      </c>
      <c r="K30">
        <v>20.53</v>
      </c>
      <c r="L30">
        <v>0</v>
      </c>
      <c r="M30">
        <v>20.53</v>
      </c>
      <c r="N30">
        <v>0</v>
      </c>
      <c r="O30">
        <v>20.53</v>
      </c>
      <c r="P30">
        <v>0</v>
      </c>
      <c r="Q30">
        <v>20.53</v>
      </c>
      <c r="R30">
        <v>0</v>
      </c>
      <c r="T30">
        <v>20.53</v>
      </c>
      <c r="U30">
        <f t="shared" si="0"/>
        <v>0</v>
      </c>
      <c r="V30">
        <f t="shared" si="1"/>
        <v>0</v>
      </c>
      <c r="W30">
        <f t="shared" si="2"/>
        <v>0</v>
      </c>
    </row>
    <row r="31" spans="1:23">
      <c r="A31">
        <v>23.88</v>
      </c>
      <c r="B31">
        <v>0</v>
      </c>
      <c r="C31">
        <v>23.88</v>
      </c>
      <c r="D31">
        <v>0</v>
      </c>
      <c r="E31">
        <v>23.88</v>
      </c>
      <c r="F31">
        <v>0</v>
      </c>
      <c r="G31">
        <v>23.88</v>
      </c>
      <c r="H31">
        <v>0</v>
      </c>
      <c r="I31">
        <v>23.88</v>
      </c>
      <c r="J31">
        <v>0</v>
      </c>
      <c r="K31">
        <v>23.88</v>
      </c>
      <c r="L31">
        <v>0</v>
      </c>
      <c r="M31">
        <v>23.88</v>
      </c>
      <c r="N31">
        <v>0</v>
      </c>
      <c r="O31">
        <v>23.88</v>
      </c>
      <c r="P31">
        <v>0</v>
      </c>
      <c r="Q31">
        <v>23.88</v>
      </c>
      <c r="R31">
        <v>0</v>
      </c>
      <c r="T31">
        <v>23.88</v>
      </c>
      <c r="U31">
        <f t="shared" si="0"/>
        <v>0</v>
      </c>
      <c r="V31">
        <f t="shared" si="1"/>
        <v>0</v>
      </c>
      <c r="W31">
        <f t="shared" si="2"/>
        <v>0</v>
      </c>
    </row>
    <row r="32" spans="1:23">
      <c r="A32">
        <v>27.77</v>
      </c>
      <c r="B32">
        <v>0</v>
      </c>
      <c r="C32">
        <v>27.77</v>
      </c>
      <c r="D32">
        <v>0</v>
      </c>
      <c r="E32">
        <v>27.77</v>
      </c>
      <c r="F32">
        <v>0</v>
      </c>
      <c r="G32">
        <v>27.77</v>
      </c>
      <c r="H32">
        <v>0</v>
      </c>
      <c r="I32">
        <v>27.77</v>
      </c>
      <c r="J32">
        <v>0</v>
      </c>
      <c r="K32">
        <v>27.77</v>
      </c>
      <c r="L32">
        <v>0</v>
      </c>
      <c r="M32">
        <v>27.77</v>
      </c>
      <c r="N32">
        <v>0</v>
      </c>
      <c r="O32">
        <v>27.77</v>
      </c>
      <c r="P32">
        <v>0</v>
      </c>
      <c r="Q32">
        <v>27.77</v>
      </c>
      <c r="R32">
        <v>0</v>
      </c>
      <c r="T32">
        <v>27.77</v>
      </c>
      <c r="U32">
        <f t="shared" si="0"/>
        <v>0</v>
      </c>
      <c r="V32">
        <f t="shared" si="1"/>
        <v>0</v>
      </c>
      <c r="W32">
        <f t="shared" si="2"/>
        <v>0</v>
      </c>
    </row>
    <row r="33" spans="1:23">
      <c r="A33">
        <v>32.299999999999997</v>
      </c>
      <c r="B33">
        <v>0</v>
      </c>
      <c r="C33">
        <v>32.299999999999997</v>
      </c>
      <c r="D33">
        <v>0</v>
      </c>
      <c r="E33">
        <v>32.299999999999997</v>
      </c>
      <c r="F33">
        <v>0</v>
      </c>
      <c r="G33">
        <v>32.299999999999997</v>
      </c>
      <c r="H33">
        <v>0</v>
      </c>
      <c r="I33">
        <v>32.299999999999997</v>
      </c>
      <c r="J33">
        <v>0</v>
      </c>
      <c r="K33">
        <v>32.299999999999997</v>
      </c>
      <c r="L33">
        <v>0</v>
      </c>
      <c r="M33">
        <v>32.299999999999997</v>
      </c>
      <c r="N33">
        <v>0</v>
      </c>
      <c r="O33">
        <v>32.299999999999997</v>
      </c>
      <c r="P33">
        <v>0</v>
      </c>
      <c r="Q33">
        <v>32.299999999999997</v>
      </c>
      <c r="R33">
        <v>0</v>
      </c>
      <c r="T33">
        <v>32.299999999999997</v>
      </c>
      <c r="U33">
        <f t="shared" si="0"/>
        <v>0</v>
      </c>
      <c r="V33">
        <f t="shared" si="1"/>
        <v>0</v>
      </c>
      <c r="W33">
        <f t="shared" si="2"/>
        <v>0</v>
      </c>
    </row>
    <row r="34" spans="1:23">
      <c r="A34">
        <v>37.56</v>
      </c>
      <c r="B34">
        <v>0</v>
      </c>
      <c r="C34">
        <v>37.56</v>
      </c>
      <c r="D34">
        <v>0</v>
      </c>
      <c r="E34">
        <v>37.56</v>
      </c>
      <c r="F34">
        <v>0</v>
      </c>
      <c r="G34">
        <v>37.56</v>
      </c>
      <c r="H34">
        <v>0</v>
      </c>
      <c r="I34">
        <v>37.56</v>
      </c>
      <c r="J34">
        <v>0</v>
      </c>
      <c r="K34">
        <v>37.56</v>
      </c>
      <c r="L34">
        <v>0</v>
      </c>
      <c r="M34">
        <v>37.56</v>
      </c>
      <c r="N34">
        <v>0</v>
      </c>
      <c r="O34">
        <v>37.56</v>
      </c>
      <c r="P34">
        <v>0</v>
      </c>
      <c r="Q34">
        <v>37.56</v>
      </c>
      <c r="R34">
        <v>0</v>
      </c>
      <c r="T34">
        <v>37.56</v>
      </c>
      <c r="U34">
        <f t="shared" si="0"/>
        <v>0</v>
      </c>
      <c r="V34">
        <f t="shared" si="1"/>
        <v>0</v>
      </c>
      <c r="W34">
        <f t="shared" si="2"/>
        <v>0</v>
      </c>
    </row>
    <row r="35" spans="1:23">
      <c r="A35">
        <v>43.68</v>
      </c>
      <c r="B35">
        <v>0</v>
      </c>
      <c r="C35">
        <v>43.68</v>
      </c>
      <c r="D35">
        <v>0</v>
      </c>
      <c r="E35">
        <v>43.68</v>
      </c>
      <c r="F35">
        <v>0</v>
      </c>
      <c r="G35">
        <v>43.68</v>
      </c>
      <c r="H35">
        <v>0</v>
      </c>
      <c r="I35">
        <v>43.68</v>
      </c>
      <c r="J35">
        <v>0</v>
      </c>
      <c r="K35">
        <v>43.68</v>
      </c>
      <c r="L35">
        <v>0</v>
      </c>
      <c r="M35">
        <v>43.68</v>
      </c>
      <c r="N35">
        <v>0</v>
      </c>
      <c r="O35">
        <v>43.68</v>
      </c>
      <c r="P35">
        <v>0</v>
      </c>
      <c r="Q35">
        <v>43.68</v>
      </c>
      <c r="R35">
        <v>0</v>
      </c>
      <c r="T35">
        <v>43.68</v>
      </c>
      <c r="U35">
        <f t="shared" si="0"/>
        <v>0</v>
      </c>
      <c r="V35">
        <f t="shared" si="1"/>
        <v>0</v>
      </c>
      <c r="W35">
        <f t="shared" si="2"/>
        <v>0</v>
      </c>
    </row>
    <row r="36" spans="1:23">
      <c r="A36">
        <v>50.79</v>
      </c>
      <c r="B36">
        <v>0</v>
      </c>
      <c r="C36">
        <v>50.79</v>
      </c>
      <c r="D36">
        <v>0</v>
      </c>
      <c r="E36">
        <v>50.79</v>
      </c>
      <c r="F36">
        <v>0</v>
      </c>
      <c r="G36">
        <v>50.79</v>
      </c>
      <c r="H36">
        <v>0</v>
      </c>
      <c r="I36">
        <v>50.79</v>
      </c>
      <c r="J36">
        <v>0</v>
      </c>
      <c r="K36">
        <v>50.79</v>
      </c>
      <c r="L36">
        <v>0</v>
      </c>
      <c r="M36">
        <v>50.79</v>
      </c>
      <c r="N36">
        <v>0</v>
      </c>
      <c r="O36">
        <v>50.79</v>
      </c>
      <c r="P36">
        <v>0</v>
      </c>
      <c r="Q36">
        <v>50.79</v>
      </c>
      <c r="R36">
        <v>0</v>
      </c>
      <c r="T36">
        <v>50.79</v>
      </c>
      <c r="U36">
        <f t="shared" si="0"/>
        <v>0</v>
      </c>
      <c r="V36">
        <f t="shared" si="1"/>
        <v>0</v>
      </c>
      <c r="W36">
        <f t="shared" si="2"/>
        <v>0</v>
      </c>
    </row>
    <row r="37" spans="1:23">
      <c r="A37">
        <v>59.07</v>
      </c>
      <c r="B37">
        <v>0</v>
      </c>
      <c r="C37">
        <v>59.07</v>
      </c>
      <c r="D37">
        <v>0</v>
      </c>
      <c r="E37">
        <v>59.07</v>
      </c>
      <c r="F37">
        <v>0</v>
      </c>
      <c r="G37">
        <v>59.07</v>
      </c>
      <c r="H37">
        <v>0</v>
      </c>
      <c r="I37">
        <v>59.07</v>
      </c>
      <c r="J37">
        <v>0</v>
      </c>
      <c r="K37">
        <v>59.07</v>
      </c>
      <c r="L37">
        <v>0</v>
      </c>
      <c r="M37">
        <v>59.07</v>
      </c>
      <c r="N37">
        <v>0</v>
      </c>
      <c r="O37">
        <v>59.07</v>
      </c>
      <c r="P37">
        <v>0</v>
      </c>
      <c r="Q37">
        <v>59.07</v>
      </c>
      <c r="R37">
        <v>0</v>
      </c>
      <c r="T37">
        <v>59.07</v>
      </c>
      <c r="U37">
        <f t="shared" si="0"/>
        <v>0</v>
      </c>
      <c r="V37">
        <f t="shared" si="1"/>
        <v>0</v>
      </c>
      <c r="W37">
        <f t="shared" si="2"/>
        <v>0</v>
      </c>
    </row>
    <row r="38" spans="1:23">
      <c r="A38">
        <v>68.69</v>
      </c>
      <c r="B38">
        <v>0</v>
      </c>
      <c r="C38">
        <v>68.69</v>
      </c>
      <c r="D38">
        <v>0</v>
      </c>
      <c r="E38">
        <v>68.69</v>
      </c>
      <c r="F38">
        <v>0</v>
      </c>
      <c r="G38">
        <v>68.69</v>
      </c>
      <c r="H38">
        <v>0</v>
      </c>
      <c r="I38">
        <v>68.69</v>
      </c>
      <c r="J38">
        <v>0</v>
      </c>
      <c r="K38">
        <v>68.69</v>
      </c>
      <c r="L38">
        <v>0</v>
      </c>
      <c r="M38">
        <v>68.69</v>
      </c>
      <c r="N38">
        <v>0</v>
      </c>
      <c r="O38">
        <v>68.69</v>
      </c>
      <c r="P38">
        <v>0</v>
      </c>
      <c r="Q38">
        <v>68.69</v>
      </c>
      <c r="R38">
        <v>0</v>
      </c>
      <c r="T38">
        <v>68.69</v>
      </c>
      <c r="U38">
        <f t="shared" si="0"/>
        <v>0</v>
      </c>
      <c r="V38">
        <f t="shared" si="1"/>
        <v>0</v>
      </c>
      <c r="W38">
        <f t="shared" si="2"/>
        <v>0</v>
      </c>
    </row>
    <row r="39" spans="1:23">
      <c r="A39">
        <v>79.88</v>
      </c>
      <c r="B39">
        <v>0</v>
      </c>
      <c r="C39">
        <v>79.88</v>
      </c>
      <c r="D39">
        <v>0</v>
      </c>
      <c r="E39">
        <v>79.88</v>
      </c>
      <c r="F39">
        <v>0</v>
      </c>
      <c r="G39">
        <v>79.88</v>
      </c>
      <c r="H39">
        <v>0</v>
      </c>
      <c r="I39">
        <v>79.88</v>
      </c>
      <c r="J39">
        <v>0</v>
      </c>
      <c r="K39">
        <v>79.88</v>
      </c>
      <c r="L39">
        <v>0</v>
      </c>
      <c r="M39">
        <v>79.88</v>
      </c>
      <c r="N39">
        <v>0</v>
      </c>
      <c r="O39">
        <v>79.88</v>
      </c>
      <c r="P39">
        <v>0</v>
      </c>
      <c r="Q39">
        <v>79.88</v>
      </c>
      <c r="R39">
        <v>0</v>
      </c>
      <c r="T39">
        <v>79.88</v>
      </c>
      <c r="U39">
        <f t="shared" si="0"/>
        <v>0</v>
      </c>
      <c r="V39">
        <f t="shared" si="1"/>
        <v>0</v>
      </c>
      <c r="W39">
        <f t="shared" si="2"/>
        <v>0</v>
      </c>
    </row>
    <row r="40" spans="1:23">
      <c r="A40">
        <v>92.89</v>
      </c>
      <c r="B40">
        <v>0</v>
      </c>
      <c r="C40">
        <v>92.89</v>
      </c>
      <c r="D40">
        <v>0</v>
      </c>
      <c r="E40">
        <v>92.89</v>
      </c>
      <c r="F40">
        <v>0</v>
      </c>
      <c r="G40">
        <v>92.89</v>
      </c>
      <c r="H40">
        <v>0</v>
      </c>
      <c r="I40">
        <v>92.89</v>
      </c>
      <c r="J40">
        <v>0</v>
      </c>
      <c r="K40">
        <v>92.89</v>
      </c>
      <c r="L40">
        <v>0</v>
      </c>
      <c r="M40">
        <v>92.89</v>
      </c>
      <c r="N40">
        <v>0</v>
      </c>
      <c r="O40">
        <v>92.89</v>
      </c>
      <c r="P40">
        <v>0</v>
      </c>
      <c r="Q40">
        <v>92.89</v>
      </c>
      <c r="R40">
        <v>0</v>
      </c>
      <c r="T40">
        <v>92.89</v>
      </c>
      <c r="U40">
        <f t="shared" si="0"/>
        <v>0</v>
      </c>
      <c r="V40">
        <f t="shared" si="1"/>
        <v>0</v>
      </c>
      <c r="W40">
        <f t="shared" si="2"/>
        <v>0</v>
      </c>
    </row>
    <row r="41" spans="1:23">
      <c r="A41">
        <v>108</v>
      </c>
      <c r="B41">
        <v>0</v>
      </c>
      <c r="C41">
        <v>108</v>
      </c>
      <c r="D41">
        <v>0</v>
      </c>
      <c r="E41">
        <v>108</v>
      </c>
      <c r="F41">
        <v>0</v>
      </c>
      <c r="G41">
        <v>108</v>
      </c>
      <c r="H41">
        <v>0</v>
      </c>
      <c r="I41">
        <v>108</v>
      </c>
      <c r="J41">
        <v>0</v>
      </c>
      <c r="K41">
        <v>108</v>
      </c>
      <c r="L41">
        <v>0</v>
      </c>
      <c r="M41">
        <v>108</v>
      </c>
      <c r="N41">
        <v>0</v>
      </c>
      <c r="O41">
        <v>108</v>
      </c>
      <c r="P41">
        <v>0</v>
      </c>
      <c r="Q41">
        <v>108</v>
      </c>
      <c r="R41">
        <v>0</v>
      </c>
      <c r="T41">
        <v>108</v>
      </c>
      <c r="U41">
        <f t="shared" si="0"/>
        <v>0</v>
      </c>
      <c r="V41">
        <f t="shared" si="1"/>
        <v>0</v>
      </c>
      <c r="W41">
        <f t="shared" si="2"/>
        <v>0</v>
      </c>
    </row>
    <row r="42" spans="1:23">
      <c r="A42">
        <v>125.6</v>
      </c>
      <c r="B42">
        <v>0</v>
      </c>
      <c r="C42">
        <v>125.6</v>
      </c>
      <c r="D42">
        <v>0</v>
      </c>
      <c r="E42">
        <v>125.6</v>
      </c>
      <c r="F42">
        <v>0</v>
      </c>
      <c r="G42">
        <v>125.6</v>
      </c>
      <c r="H42">
        <v>0</v>
      </c>
      <c r="I42">
        <v>125.6</v>
      </c>
      <c r="J42">
        <v>0.87190000000000001</v>
      </c>
      <c r="K42">
        <v>125.6</v>
      </c>
      <c r="L42">
        <v>1.643</v>
      </c>
      <c r="M42">
        <v>125.6</v>
      </c>
      <c r="N42">
        <v>0</v>
      </c>
      <c r="O42">
        <v>125.6</v>
      </c>
      <c r="P42">
        <v>0</v>
      </c>
      <c r="Q42">
        <v>125.6</v>
      </c>
      <c r="R42">
        <v>1.4730000000000001</v>
      </c>
      <c r="T42">
        <v>125.6</v>
      </c>
      <c r="U42">
        <f t="shared" si="0"/>
        <v>0</v>
      </c>
      <c r="V42">
        <f t="shared" si="1"/>
        <v>0.83829999999999993</v>
      </c>
      <c r="W42">
        <f t="shared" si="2"/>
        <v>0.49100000000000005</v>
      </c>
    </row>
    <row r="43" spans="1:23">
      <c r="A43">
        <v>146.1</v>
      </c>
      <c r="B43">
        <v>0</v>
      </c>
      <c r="C43">
        <v>146.1</v>
      </c>
      <c r="D43">
        <v>0</v>
      </c>
      <c r="E43">
        <v>146.1</v>
      </c>
      <c r="F43">
        <v>0</v>
      </c>
      <c r="G43">
        <v>146.1</v>
      </c>
      <c r="H43">
        <v>2.6960000000000002</v>
      </c>
      <c r="I43">
        <v>146.1</v>
      </c>
      <c r="J43">
        <v>5.2329999999999997</v>
      </c>
      <c r="K43">
        <v>146.1</v>
      </c>
      <c r="L43">
        <v>5.1909999999999998</v>
      </c>
      <c r="M43">
        <v>146.1</v>
      </c>
      <c r="N43">
        <v>1.1739999999999999</v>
      </c>
      <c r="O43">
        <v>146.1</v>
      </c>
      <c r="P43">
        <v>3.2010000000000001</v>
      </c>
      <c r="Q43">
        <v>146.1</v>
      </c>
      <c r="R43">
        <v>6.17</v>
      </c>
      <c r="T43">
        <v>146.1</v>
      </c>
      <c r="U43">
        <f t="shared" si="0"/>
        <v>0</v>
      </c>
      <c r="V43">
        <f t="shared" si="1"/>
        <v>4.373333333333334</v>
      </c>
      <c r="W43">
        <f t="shared" si="2"/>
        <v>3.5150000000000001</v>
      </c>
    </row>
    <row r="44" spans="1:23">
      <c r="A44">
        <v>169.9</v>
      </c>
      <c r="B44">
        <v>0.56410000000000005</v>
      </c>
      <c r="C44">
        <v>169.9</v>
      </c>
      <c r="D44">
        <v>1.6910000000000001</v>
      </c>
      <c r="E44">
        <v>169.9</v>
      </c>
      <c r="F44">
        <v>1.98</v>
      </c>
      <c r="G44">
        <v>169.9</v>
      </c>
      <c r="H44">
        <v>10.37</v>
      </c>
      <c r="I44">
        <v>169.9</v>
      </c>
      <c r="J44">
        <v>11.69</v>
      </c>
      <c r="K44">
        <v>169.9</v>
      </c>
      <c r="L44">
        <v>9.7089999999999996</v>
      </c>
      <c r="M44">
        <v>169.9</v>
      </c>
      <c r="N44">
        <v>17.91</v>
      </c>
      <c r="O44">
        <v>169.9</v>
      </c>
      <c r="P44">
        <v>15.88</v>
      </c>
      <c r="Q44">
        <v>169.9</v>
      </c>
      <c r="R44">
        <v>12.69</v>
      </c>
      <c r="T44">
        <v>169.9</v>
      </c>
      <c r="U44">
        <f t="shared" si="0"/>
        <v>1.4117</v>
      </c>
      <c r="V44">
        <f t="shared" si="1"/>
        <v>10.589666666666666</v>
      </c>
      <c r="W44">
        <f t="shared" si="2"/>
        <v>15.493333333333332</v>
      </c>
    </row>
    <row r="45" spans="1:23">
      <c r="A45">
        <v>197.6</v>
      </c>
      <c r="B45">
        <v>12.34</v>
      </c>
      <c r="C45">
        <v>197.6</v>
      </c>
      <c r="D45">
        <v>9.2270000000000003</v>
      </c>
      <c r="E45">
        <v>197.6</v>
      </c>
      <c r="F45">
        <v>9.7439999999999998</v>
      </c>
      <c r="G45">
        <v>197.6</v>
      </c>
      <c r="H45">
        <v>18.77</v>
      </c>
      <c r="I45">
        <v>197.6</v>
      </c>
      <c r="J45">
        <v>17.48</v>
      </c>
      <c r="K45">
        <v>197.6</v>
      </c>
      <c r="L45">
        <v>13.84</v>
      </c>
      <c r="M45">
        <v>197.6</v>
      </c>
      <c r="N45">
        <v>32.950000000000003</v>
      </c>
      <c r="O45">
        <v>197.6</v>
      </c>
      <c r="P45">
        <v>27.5</v>
      </c>
      <c r="Q45">
        <v>197.6</v>
      </c>
      <c r="R45">
        <v>18.329999999999998</v>
      </c>
      <c r="T45">
        <v>197.6</v>
      </c>
      <c r="U45">
        <f t="shared" si="0"/>
        <v>10.436999999999999</v>
      </c>
      <c r="V45">
        <f t="shared" si="1"/>
        <v>16.696666666666669</v>
      </c>
      <c r="W45">
        <f t="shared" si="2"/>
        <v>26.26</v>
      </c>
    </row>
    <row r="46" spans="1:23">
      <c r="A46">
        <v>229.8</v>
      </c>
      <c r="B46">
        <v>25.87</v>
      </c>
      <c r="C46">
        <v>229.8</v>
      </c>
      <c r="D46">
        <v>18.36</v>
      </c>
      <c r="E46">
        <v>229.8</v>
      </c>
      <c r="F46">
        <v>18.86</v>
      </c>
      <c r="G46">
        <v>229.8</v>
      </c>
      <c r="H46">
        <v>23.23</v>
      </c>
      <c r="I46">
        <v>229.8</v>
      </c>
      <c r="J46">
        <v>20.28</v>
      </c>
      <c r="K46">
        <v>229.8</v>
      </c>
      <c r="L46">
        <v>16.399999999999999</v>
      </c>
      <c r="M46">
        <v>229.8</v>
      </c>
      <c r="N46">
        <v>31.62</v>
      </c>
      <c r="O46">
        <v>229.8</v>
      </c>
      <c r="P46">
        <v>28.61</v>
      </c>
      <c r="Q46">
        <v>229.8</v>
      </c>
      <c r="R46">
        <v>20.69</v>
      </c>
      <c r="T46">
        <v>229.8</v>
      </c>
      <c r="U46">
        <f t="shared" si="0"/>
        <v>21.03</v>
      </c>
      <c r="V46">
        <f t="shared" si="1"/>
        <v>19.970000000000002</v>
      </c>
      <c r="W46">
        <f t="shared" si="2"/>
        <v>26.973333333333333</v>
      </c>
    </row>
    <row r="47" spans="1:23">
      <c r="A47">
        <v>267.2</v>
      </c>
      <c r="B47">
        <v>30.19</v>
      </c>
      <c r="C47">
        <v>267.2</v>
      </c>
      <c r="D47">
        <v>23.72</v>
      </c>
      <c r="E47">
        <v>267.2</v>
      </c>
      <c r="F47">
        <v>23.96</v>
      </c>
      <c r="G47">
        <v>267.2</v>
      </c>
      <c r="H47">
        <v>21.61</v>
      </c>
      <c r="I47">
        <v>267.2</v>
      </c>
      <c r="J47">
        <v>19.059999999999999</v>
      </c>
      <c r="K47">
        <v>267.2</v>
      </c>
      <c r="L47">
        <v>16.7</v>
      </c>
      <c r="M47">
        <v>267.2</v>
      </c>
      <c r="N47">
        <v>15.69</v>
      </c>
      <c r="O47">
        <v>267.2</v>
      </c>
      <c r="P47">
        <v>18.77</v>
      </c>
      <c r="Q47">
        <v>267.2</v>
      </c>
      <c r="R47">
        <v>18.760000000000002</v>
      </c>
      <c r="T47">
        <v>267.2</v>
      </c>
      <c r="U47">
        <f t="shared" si="0"/>
        <v>25.956666666666667</v>
      </c>
      <c r="V47">
        <f t="shared" si="1"/>
        <v>19.123333333333335</v>
      </c>
      <c r="W47">
        <f t="shared" si="2"/>
        <v>17.739999999999998</v>
      </c>
    </row>
    <row r="48" spans="1:23">
      <c r="A48">
        <v>310.7</v>
      </c>
      <c r="B48">
        <v>22.31</v>
      </c>
      <c r="C48">
        <v>310.7</v>
      </c>
      <c r="D48">
        <v>22.57</v>
      </c>
      <c r="E48">
        <v>310.7</v>
      </c>
      <c r="F48">
        <v>22.41</v>
      </c>
      <c r="G48">
        <v>310.7</v>
      </c>
      <c r="H48">
        <v>15.02</v>
      </c>
      <c r="I48">
        <v>310.7</v>
      </c>
      <c r="J48">
        <v>14.42</v>
      </c>
      <c r="K48">
        <v>310.7</v>
      </c>
      <c r="L48">
        <v>14.74</v>
      </c>
      <c r="M48">
        <v>310.7</v>
      </c>
      <c r="N48">
        <v>0.6542</v>
      </c>
      <c r="O48">
        <v>310.7</v>
      </c>
      <c r="P48">
        <v>6.032</v>
      </c>
      <c r="Q48">
        <v>310.7</v>
      </c>
      <c r="R48">
        <v>13.35</v>
      </c>
      <c r="T48">
        <v>310.7</v>
      </c>
      <c r="U48">
        <f t="shared" si="0"/>
        <v>22.429999999999996</v>
      </c>
      <c r="V48">
        <f t="shared" si="1"/>
        <v>14.726666666666667</v>
      </c>
      <c r="W48">
        <f t="shared" si="2"/>
        <v>6.6787333333333336</v>
      </c>
    </row>
    <row r="49" spans="1:23">
      <c r="A49">
        <v>361.3</v>
      </c>
      <c r="B49">
        <v>8.7200000000000006</v>
      </c>
      <c r="C49">
        <v>361.3</v>
      </c>
      <c r="D49">
        <v>15.85</v>
      </c>
      <c r="E49">
        <v>361.3</v>
      </c>
      <c r="F49">
        <v>15.36</v>
      </c>
      <c r="G49">
        <v>361.3</v>
      </c>
      <c r="H49">
        <v>6.9610000000000003</v>
      </c>
      <c r="I49">
        <v>361.3</v>
      </c>
      <c r="J49">
        <v>8.1980000000000004</v>
      </c>
      <c r="K49">
        <v>361.3</v>
      </c>
      <c r="L49">
        <v>11.11</v>
      </c>
      <c r="M49">
        <v>361.3</v>
      </c>
      <c r="N49">
        <v>0</v>
      </c>
      <c r="O49">
        <v>361.3</v>
      </c>
      <c r="P49">
        <v>0</v>
      </c>
      <c r="Q49">
        <v>361.3</v>
      </c>
      <c r="R49">
        <v>6.7670000000000003</v>
      </c>
      <c r="T49">
        <v>361.3</v>
      </c>
      <c r="U49">
        <f t="shared" si="0"/>
        <v>13.31</v>
      </c>
      <c r="V49">
        <f t="shared" si="1"/>
        <v>8.7563333333333322</v>
      </c>
      <c r="W49">
        <f t="shared" si="2"/>
        <v>2.2556666666666669</v>
      </c>
    </row>
    <row r="50" spans="1:23">
      <c r="A50">
        <v>420.2</v>
      </c>
      <c r="B50">
        <v>0</v>
      </c>
      <c r="C50">
        <v>420.2</v>
      </c>
      <c r="D50">
        <v>7.2919999999999998</v>
      </c>
      <c r="E50">
        <v>420.2</v>
      </c>
      <c r="F50">
        <v>6.73</v>
      </c>
      <c r="G50">
        <v>420.2</v>
      </c>
      <c r="H50">
        <v>1.339</v>
      </c>
      <c r="I50">
        <v>420.2</v>
      </c>
      <c r="J50">
        <v>2.774</v>
      </c>
      <c r="K50">
        <v>420.2</v>
      </c>
      <c r="L50">
        <v>6.84</v>
      </c>
      <c r="M50">
        <v>420.2</v>
      </c>
      <c r="N50">
        <v>0</v>
      </c>
      <c r="O50">
        <v>420.2</v>
      </c>
      <c r="P50">
        <v>0</v>
      </c>
      <c r="Q50">
        <v>420.2</v>
      </c>
      <c r="R50">
        <v>1.7689999999999999</v>
      </c>
      <c r="T50">
        <v>420.2</v>
      </c>
      <c r="U50">
        <f t="shared" si="0"/>
        <v>4.6740000000000004</v>
      </c>
      <c r="V50">
        <f t="shared" si="1"/>
        <v>3.6509999999999998</v>
      </c>
      <c r="W50">
        <f t="shared" si="2"/>
        <v>0.58966666666666667</v>
      </c>
    </row>
    <row r="51" spans="1:23">
      <c r="A51">
        <v>488.7</v>
      </c>
      <c r="B51">
        <v>0</v>
      </c>
      <c r="C51">
        <v>488.7</v>
      </c>
      <c r="D51">
        <v>1.298</v>
      </c>
      <c r="E51">
        <v>488.7</v>
      </c>
      <c r="F51">
        <v>0.95760000000000001</v>
      </c>
      <c r="G51">
        <v>488.7</v>
      </c>
      <c r="H51">
        <v>0</v>
      </c>
      <c r="I51">
        <v>488.7</v>
      </c>
      <c r="J51">
        <v>0</v>
      </c>
      <c r="K51">
        <v>488.7</v>
      </c>
      <c r="L51">
        <v>3.0859999999999999</v>
      </c>
      <c r="M51">
        <v>488.7</v>
      </c>
      <c r="N51">
        <v>0</v>
      </c>
      <c r="O51">
        <v>488.7</v>
      </c>
      <c r="P51">
        <v>0</v>
      </c>
      <c r="Q51">
        <v>488.7</v>
      </c>
      <c r="R51">
        <v>0</v>
      </c>
      <c r="T51">
        <v>488.7</v>
      </c>
      <c r="U51">
        <f t="shared" si="0"/>
        <v>0.75186666666666679</v>
      </c>
      <c r="V51">
        <f t="shared" si="1"/>
        <v>1.0286666666666666</v>
      </c>
      <c r="W51">
        <f t="shared" si="2"/>
        <v>0</v>
      </c>
    </row>
    <row r="52" spans="1:23">
      <c r="A52">
        <v>568.29999999999995</v>
      </c>
      <c r="B52">
        <v>0</v>
      </c>
      <c r="C52">
        <v>568.29999999999995</v>
      </c>
      <c r="D52">
        <v>0</v>
      </c>
      <c r="E52">
        <v>568.29999999999995</v>
      </c>
      <c r="F52">
        <v>0</v>
      </c>
      <c r="G52">
        <v>568.29999999999995</v>
      </c>
      <c r="H52">
        <v>0</v>
      </c>
      <c r="I52">
        <v>568.29999999999995</v>
      </c>
      <c r="J52">
        <v>0</v>
      </c>
      <c r="K52">
        <v>568.29999999999995</v>
      </c>
      <c r="L52">
        <v>0.73560000000000003</v>
      </c>
      <c r="M52">
        <v>568.29999999999995</v>
      </c>
      <c r="N52">
        <v>0</v>
      </c>
      <c r="O52">
        <v>568.29999999999995</v>
      </c>
      <c r="P52">
        <v>0</v>
      </c>
      <c r="Q52">
        <v>568.29999999999995</v>
      </c>
      <c r="R52">
        <v>0</v>
      </c>
      <c r="T52">
        <v>568.29999999999995</v>
      </c>
      <c r="U52">
        <f t="shared" si="0"/>
        <v>0</v>
      </c>
      <c r="V52">
        <f t="shared" si="1"/>
        <v>0.2452</v>
      </c>
      <c r="W52">
        <f t="shared" si="2"/>
        <v>0</v>
      </c>
    </row>
    <row r="53" spans="1:23">
      <c r="A53">
        <v>660.9</v>
      </c>
      <c r="B53">
        <v>0</v>
      </c>
      <c r="C53">
        <v>660.9</v>
      </c>
      <c r="D53">
        <v>0</v>
      </c>
      <c r="E53">
        <v>660.9</v>
      </c>
      <c r="F53">
        <v>0</v>
      </c>
      <c r="G53">
        <v>660.9</v>
      </c>
      <c r="H53">
        <v>0</v>
      </c>
      <c r="I53">
        <v>660.9</v>
      </c>
      <c r="J53">
        <v>0</v>
      </c>
      <c r="K53">
        <v>660.9</v>
      </c>
      <c r="L53">
        <v>0</v>
      </c>
      <c r="M53">
        <v>660.9</v>
      </c>
      <c r="N53">
        <v>0</v>
      </c>
      <c r="O53">
        <v>660.9</v>
      </c>
      <c r="P53">
        <v>0</v>
      </c>
      <c r="Q53">
        <v>660.9</v>
      </c>
      <c r="R53">
        <v>0</v>
      </c>
      <c r="T53">
        <v>660.9</v>
      </c>
      <c r="U53">
        <f t="shared" si="0"/>
        <v>0</v>
      </c>
      <c r="V53">
        <f t="shared" si="1"/>
        <v>0</v>
      </c>
      <c r="W53">
        <f t="shared" si="2"/>
        <v>0</v>
      </c>
    </row>
    <row r="54" spans="1:23">
      <c r="A54">
        <v>768.5</v>
      </c>
      <c r="B54">
        <v>0</v>
      </c>
      <c r="C54">
        <v>768.5</v>
      </c>
      <c r="D54">
        <v>0</v>
      </c>
      <c r="E54">
        <v>768.5</v>
      </c>
      <c r="F54">
        <v>0</v>
      </c>
      <c r="G54">
        <v>768.5</v>
      </c>
      <c r="H54">
        <v>0</v>
      </c>
      <c r="I54">
        <v>768.5</v>
      </c>
      <c r="J54">
        <v>0</v>
      </c>
      <c r="K54">
        <v>768.5</v>
      </c>
      <c r="L54">
        <v>0</v>
      </c>
      <c r="M54">
        <v>768.5</v>
      </c>
      <c r="N54">
        <v>0</v>
      </c>
      <c r="O54">
        <v>768.5</v>
      </c>
      <c r="P54">
        <v>0</v>
      </c>
      <c r="Q54">
        <v>768.5</v>
      </c>
      <c r="R54">
        <v>0</v>
      </c>
      <c r="T54">
        <v>768.5</v>
      </c>
      <c r="U54">
        <f t="shared" si="0"/>
        <v>0</v>
      </c>
      <c r="V54">
        <f t="shared" si="1"/>
        <v>0</v>
      </c>
      <c r="W54">
        <f t="shared" si="2"/>
        <v>0</v>
      </c>
    </row>
    <row r="55" spans="1:23">
      <c r="A55">
        <v>893.8</v>
      </c>
      <c r="B55">
        <v>0</v>
      </c>
      <c r="C55">
        <v>893.8</v>
      </c>
      <c r="D55">
        <v>0</v>
      </c>
      <c r="E55">
        <v>893.8</v>
      </c>
      <c r="F55">
        <v>0</v>
      </c>
      <c r="G55">
        <v>893.8</v>
      </c>
      <c r="H55">
        <v>0</v>
      </c>
      <c r="I55">
        <v>893.8</v>
      </c>
      <c r="J55">
        <v>0</v>
      </c>
      <c r="K55">
        <v>893.8</v>
      </c>
      <c r="L55">
        <v>0</v>
      </c>
      <c r="M55">
        <v>893.8</v>
      </c>
      <c r="N55">
        <v>0</v>
      </c>
      <c r="O55">
        <v>893.8</v>
      </c>
      <c r="P55">
        <v>0</v>
      </c>
      <c r="Q55">
        <v>893.8</v>
      </c>
      <c r="R55">
        <v>0</v>
      </c>
      <c r="T55">
        <v>893.8</v>
      </c>
      <c r="U55">
        <f t="shared" si="0"/>
        <v>0</v>
      </c>
      <c r="V55">
        <f t="shared" si="1"/>
        <v>0</v>
      </c>
      <c r="W55">
        <f t="shared" si="2"/>
        <v>0</v>
      </c>
    </row>
    <row r="56" spans="1:23">
      <c r="A56">
        <v>1039</v>
      </c>
      <c r="B56">
        <v>0</v>
      </c>
      <c r="C56">
        <v>1039</v>
      </c>
      <c r="D56">
        <v>0</v>
      </c>
      <c r="E56">
        <v>1039</v>
      </c>
      <c r="F56">
        <v>0</v>
      </c>
      <c r="G56">
        <v>1039</v>
      </c>
      <c r="H56">
        <v>0</v>
      </c>
      <c r="I56">
        <v>1039</v>
      </c>
      <c r="J56">
        <v>0</v>
      </c>
      <c r="K56">
        <v>1039</v>
      </c>
      <c r="L56">
        <v>0</v>
      </c>
      <c r="M56">
        <v>1039</v>
      </c>
      <c r="N56">
        <v>0</v>
      </c>
      <c r="O56">
        <v>1039</v>
      </c>
      <c r="P56">
        <v>0</v>
      </c>
      <c r="Q56">
        <v>1039</v>
      </c>
      <c r="R56">
        <v>0</v>
      </c>
      <c r="T56">
        <v>1039</v>
      </c>
      <c r="U56">
        <f t="shared" si="0"/>
        <v>0</v>
      </c>
      <c r="V56">
        <f t="shared" si="1"/>
        <v>0</v>
      </c>
      <c r="W56">
        <f t="shared" si="2"/>
        <v>0</v>
      </c>
    </row>
    <row r="57" spans="1:23">
      <c r="A57">
        <v>1209</v>
      </c>
      <c r="B57">
        <v>0</v>
      </c>
      <c r="C57">
        <v>1209</v>
      </c>
      <c r="D57">
        <v>0</v>
      </c>
      <c r="E57">
        <v>1209</v>
      </c>
      <c r="F57">
        <v>0</v>
      </c>
      <c r="G57">
        <v>1209</v>
      </c>
      <c r="H57">
        <v>0</v>
      </c>
      <c r="I57">
        <v>1209</v>
      </c>
      <c r="J57">
        <v>0</v>
      </c>
      <c r="K57">
        <v>1209</v>
      </c>
      <c r="L57">
        <v>0</v>
      </c>
      <c r="M57">
        <v>1209</v>
      </c>
      <c r="N57">
        <v>0</v>
      </c>
      <c r="O57">
        <v>1209</v>
      </c>
      <c r="P57">
        <v>0</v>
      </c>
      <c r="Q57">
        <v>1209</v>
      </c>
      <c r="R57">
        <v>0</v>
      </c>
      <c r="T57">
        <v>1209</v>
      </c>
      <c r="U57">
        <f t="shared" si="0"/>
        <v>0</v>
      </c>
      <c r="V57">
        <f t="shared" si="1"/>
        <v>0</v>
      </c>
      <c r="W57">
        <f t="shared" si="2"/>
        <v>0</v>
      </c>
    </row>
    <row r="58" spans="1:23">
      <c r="A58">
        <v>1406</v>
      </c>
      <c r="B58">
        <v>0</v>
      </c>
      <c r="C58">
        <v>1406</v>
      </c>
      <c r="D58">
        <v>0</v>
      </c>
      <c r="E58">
        <v>1406</v>
      </c>
      <c r="F58">
        <v>0</v>
      </c>
      <c r="G58">
        <v>1406</v>
      </c>
      <c r="H58">
        <v>0</v>
      </c>
      <c r="I58">
        <v>1406</v>
      </c>
      <c r="J58">
        <v>0</v>
      </c>
      <c r="K58">
        <v>1406</v>
      </c>
      <c r="L58">
        <v>0</v>
      </c>
      <c r="M58">
        <v>1406</v>
      </c>
      <c r="N58">
        <v>0</v>
      </c>
      <c r="O58">
        <v>1406</v>
      </c>
      <c r="P58">
        <v>0</v>
      </c>
      <c r="Q58">
        <v>1406</v>
      </c>
      <c r="R58">
        <v>0</v>
      </c>
      <c r="T58">
        <v>1406</v>
      </c>
      <c r="U58">
        <f t="shared" si="0"/>
        <v>0</v>
      </c>
      <c r="V58">
        <f t="shared" si="1"/>
        <v>0</v>
      </c>
      <c r="W58">
        <f t="shared" si="2"/>
        <v>0</v>
      </c>
    </row>
    <row r="59" spans="1:23">
      <c r="A59">
        <v>1635</v>
      </c>
      <c r="B59">
        <v>0</v>
      </c>
      <c r="C59">
        <v>1635</v>
      </c>
      <c r="D59">
        <v>0</v>
      </c>
      <c r="E59">
        <v>1635</v>
      </c>
      <c r="F59">
        <v>0</v>
      </c>
      <c r="G59">
        <v>1635</v>
      </c>
      <c r="H59">
        <v>0</v>
      </c>
      <c r="I59">
        <v>1635</v>
      </c>
      <c r="J59">
        <v>0</v>
      </c>
      <c r="K59">
        <v>1635</v>
      </c>
      <c r="L59">
        <v>0</v>
      </c>
      <c r="M59">
        <v>1635</v>
      </c>
      <c r="N59">
        <v>0</v>
      </c>
      <c r="O59">
        <v>1635</v>
      </c>
      <c r="P59">
        <v>0</v>
      </c>
      <c r="Q59">
        <v>1635</v>
      </c>
      <c r="R59">
        <v>0</v>
      </c>
      <c r="T59">
        <v>1635</v>
      </c>
      <c r="U59">
        <f t="shared" si="0"/>
        <v>0</v>
      </c>
      <c r="V59">
        <f t="shared" si="1"/>
        <v>0</v>
      </c>
      <c r="W59">
        <f t="shared" si="2"/>
        <v>0</v>
      </c>
    </row>
    <row r="60" spans="1:23">
      <c r="A60">
        <v>1901</v>
      </c>
      <c r="B60">
        <v>0</v>
      </c>
      <c r="C60">
        <v>1901</v>
      </c>
      <c r="D60">
        <v>0</v>
      </c>
      <c r="E60">
        <v>1901</v>
      </c>
      <c r="F60">
        <v>0</v>
      </c>
      <c r="G60">
        <v>1901</v>
      </c>
      <c r="H60">
        <v>0</v>
      </c>
      <c r="I60">
        <v>1901</v>
      </c>
      <c r="J60">
        <v>0</v>
      </c>
      <c r="K60">
        <v>1901</v>
      </c>
      <c r="L60">
        <v>0</v>
      </c>
      <c r="M60">
        <v>1901</v>
      </c>
      <c r="N60">
        <v>0</v>
      </c>
      <c r="O60">
        <v>1901</v>
      </c>
      <c r="P60">
        <v>0</v>
      </c>
      <c r="Q60">
        <v>1901</v>
      </c>
      <c r="R60">
        <v>0</v>
      </c>
      <c r="T60">
        <v>1901</v>
      </c>
      <c r="U60">
        <f t="shared" si="0"/>
        <v>0</v>
      </c>
      <c r="V60">
        <f t="shared" si="1"/>
        <v>0</v>
      </c>
      <c r="W60">
        <f t="shared" si="2"/>
        <v>0</v>
      </c>
    </row>
    <row r="61" spans="1:23">
      <c r="A61">
        <v>2211</v>
      </c>
      <c r="B61">
        <v>0</v>
      </c>
      <c r="C61">
        <v>2211</v>
      </c>
      <c r="D61">
        <v>0</v>
      </c>
      <c r="E61">
        <v>2211</v>
      </c>
      <c r="F61">
        <v>0</v>
      </c>
      <c r="G61">
        <v>2211</v>
      </c>
      <c r="H61">
        <v>0</v>
      </c>
      <c r="I61">
        <v>2211</v>
      </c>
      <c r="J61">
        <v>0</v>
      </c>
      <c r="K61">
        <v>2211</v>
      </c>
      <c r="L61">
        <v>0</v>
      </c>
      <c r="M61">
        <v>2211</v>
      </c>
      <c r="N61">
        <v>0</v>
      </c>
      <c r="O61">
        <v>2211</v>
      </c>
      <c r="P61">
        <v>0</v>
      </c>
      <c r="Q61">
        <v>2211</v>
      </c>
      <c r="R61">
        <v>0</v>
      </c>
      <c r="T61">
        <v>2211</v>
      </c>
      <c r="U61">
        <f t="shared" si="0"/>
        <v>0</v>
      </c>
      <c r="V61">
        <f t="shared" si="1"/>
        <v>0</v>
      </c>
      <c r="W61">
        <f t="shared" si="2"/>
        <v>0</v>
      </c>
    </row>
    <row r="62" spans="1:23">
      <c r="A62">
        <v>2571</v>
      </c>
      <c r="B62">
        <v>0</v>
      </c>
      <c r="C62">
        <v>2571</v>
      </c>
      <c r="D62">
        <v>0</v>
      </c>
      <c r="E62">
        <v>2571</v>
      </c>
      <c r="F62">
        <v>0</v>
      </c>
      <c r="G62">
        <v>2571</v>
      </c>
      <c r="H62">
        <v>0</v>
      </c>
      <c r="I62">
        <v>2571</v>
      </c>
      <c r="J62">
        <v>0</v>
      </c>
      <c r="K62">
        <v>2571</v>
      </c>
      <c r="L62">
        <v>0</v>
      </c>
      <c r="M62">
        <v>2571</v>
      </c>
      <c r="N62">
        <v>0</v>
      </c>
      <c r="O62">
        <v>2571</v>
      </c>
      <c r="P62">
        <v>0</v>
      </c>
      <c r="Q62">
        <v>2571</v>
      </c>
      <c r="R62">
        <v>0</v>
      </c>
      <c r="T62">
        <v>2571</v>
      </c>
      <c r="U62">
        <f t="shared" si="0"/>
        <v>0</v>
      </c>
      <c r="V62">
        <f t="shared" si="1"/>
        <v>0</v>
      </c>
      <c r="W62">
        <f t="shared" si="2"/>
        <v>0</v>
      </c>
    </row>
    <row r="63" spans="1:23">
      <c r="A63">
        <v>2990</v>
      </c>
      <c r="B63">
        <v>0</v>
      </c>
      <c r="C63">
        <v>2990</v>
      </c>
      <c r="D63">
        <v>0</v>
      </c>
      <c r="E63">
        <v>2990</v>
      </c>
      <c r="F63">
        <v>0</v>
      </c>
      <c r="G63">
        <v>2990</v>
      </c>
      <c r="H63">
        <v>0</v>
      </c>
      <c r="I63">
        <v>2990</v>
      </c>
      <c r="J63">
        <v>0</v>
      </c>
      <c r="K63">
        <v>2990</v>
      </c>
      <c r="L63">
        <v>0</v>
      </c>
      <c r="M63">
        <v>2990</v>
      </c>
      <c r="N63">
        <v>0</v>
      </c>
      <c r="O63">
        <v>2990</v>
      </c>
      <c r="P63">
        <v>0</v>
      </c>
      <c r="Q63">
        <v>2990</v>
      </c>
      <c r="R63">
        <v>0</v>
      </c>
      <c r="T63">
        <v>2990</v>
      </c>
      <c r="U63">
        <f t="shared" si="0"/>
        <v>0</v>
      </c>
      <c r="V63">
        <f t="shared" si="1"/>
        <v>0</v>
      </c>
      <c r="W63">
        <f t="shared" si="2"/>
        <v>0</v>
      </c>
    </row>
    <row r="64" spans="1:23">
      <c r="A64">
        <v>3477</v>
      </c>
      <c r="B64">
        <v>0</v>
      </c>
      <c r="C64">
        <v>3477</v>
      </c>
      <c r="D64">
        <v>0</v>
      </c>
      <c r="E64">
        <v>3477</v>
      </c>
      <c r="F64">
        <v>0</v>
      </c>
      <c r="G64">
        <v>3477</v>
      </c>
      <c r="H64">
        <v>0</v>
      </c>
      <c r="I64">
        <v>3477</v>
      </c>
      <c r="J64">
        <v>0</v>
      </c>
      <c r="K64">
        <v>3477</v>
      </c>
      <c r="L64">
        <v>0</v>
      </c>
      <c r="M64">
        <v>3477</v>
      </c>
      <c r="N64">
        <v>0</v>
      </c>
      <c r="O64">
        <v>3477</v>
      </c>
      <c r="P64">
        <v>0</v>
      </c>
      <c r="Q64">
        <v>3477</v>
      </c>
      <c r="R64">
        <v>0</v>
      </c>
      <c r="T64">
        <v>3477</v>
      </c>
      <c r="U64">
        <f t="shared" si="0"/>
        <v>0</v>
      </c>
      <c r="V64">
        <f t="shared" si="1"/>
        <v>0</v>
      </c>
      <c r="W64">
        <f t="shared" si="2"/>
        <v>0</v>
      </c>
    </row>
    <row r="65" spans="1:23">
      <c r="A65">
        <v>4043</v>
      </c>
      <c r="B65">
        <v>0</v>
      </c>
      <c r="C65">
        <v>4043</v>
      </c>
      <c r="D65">
        <v>0</v>
      </c>
      <c r="E65">
        <v>4043</v>
      </c>
      <c r="F65">
        <v>0</v>
      </c>
      <c r="G65">
        <v>4043</v>
      </c>
      <c r="H65">
        <v>0</v>
      </c>
      <c r="I65">
        <v>4043</v>
      </c>
      <c r="J65">
        <v>0</v>
      </c>
      <c r="K65">
        <v>4043</v>
      </c>
      <c r="L65">
        <v>0</v>
      </c>
      <c r="M65">
        <v>4043</v>
      </c>
      <c r="N65">
        <v>0</v>
      </c>
      <c r="O65">
        <v>4043</v>
      </c>
      <c r="P65">
        <v>0</v>
      </c>
      <c r="Q65">
        <v>4043</v>
      </c>
      <c r="R65">
        <v>0</v>
      </c>
      <c r="T65">
        <v>4043</v>
      </c>
      <c r="U65">
        <f t="shared" si="0"/>
        <v>0</v>
      </c>
      <c r="V65">
        <f t="shared" si="1"/>
        <v>0</v>
      </c>
      <c r="W65">
        <f t="shared" si="2"/>
        <v>0</v>
      </c>
    </row>
    <row r="66" spans="1:23">
      <c r="A66">
        <v>4702</v>
      </c>
      <c r="B66">
        <v>0</v>
      </c>
      <c r="C66">
        <v>4702</v>
      </c>
      <c r="D66">
        <v>0</v>
      </c>
      <c r="E66">
        <v>4702</v>
      </c>
      <c r="F66">
        <v>0</v>
      </c>
      <c r="G66">
        <v>4702</v>
      </c>
      <c r="H66">
        <v>0</v>
      </c>
      <c r="I66">
        <v>4702</v>
      </c>
      <c r="J66">
        <v>0</v>
      </c>
      <c r="K66">
        <v>4702</v>
      </c>
      <c r="L66">
        <v>0</v>
      </c>
      <c r="M66">
        <v>4702</v>
      </c>
      <c r="N66">
        <v>0</v>
      </c>
      <c r="O66">
        <v>4702</v>
      </c>
      <c r="P66">
        <v>0</v>
      </c>
      <c r="Q66">
        <v>4702</v>
      </c>
      <c r="R66">
        <v>0</v>
      </c>
      <c r="T66">
        <v>4702</v>
      </c>
      <c r="U66">
        <f t="shared" si="0"/>
        <v>0</v>
      </c>
      <c r="V66">
        <f t="shared" si="1"/>
        <v>0</v>
      </c>
      <c r="W66">
        <f t="shared" si="2"/>
        <v>0</v>
      </c>
    </row>
    <row r="67" spans="1:23">
      <c r="A67">
        <v>5468</v>
      </c>
      <c r="B67">
        <v>0</v>
      </c>
      <c r="C67">
        <v>5468</v>
      </c>
      <c r="D67">
        <v>0</v>
      </c>
      <c r="E67">
        <v>5468</v>
      </c>
      <c r="F67">
        <v>0</v>
      </c>
      <c r="G67">
        <v>5468</v>
      </c>
      <c r="H67">
        <v>0</v>
      </c>
      <c r="I67">
        <v>5468</v>
      </c>
      <c r="J67">
        <v>0</v>
      </c>
      <c r="K67">
        <v>5468</v>
      </c>
      <c r="L67">
        <v>0</v>
      </c>
      <c r="M67">
        <v>5468</v>
      </c>
      <c r="N67">
        <v>0</v>
      </c>
      <c r="O67">
        <v>5468</v>
      </c>
      <c r="P67">
        <v>0</v>
      </c>
      <c r="Q67">
        <v>5468</v>
      </c>
      <c r="R67">
        <v>0</v>
      </c>
      <c r="T67">
        <v>5468</v>
      </c>
      <c r="U67">
        <f>AVERAGE(B67,D67,F67)</f>
        <v>0</v>
      </c>
      <c r="V67">
        <f>AVERAGE(H67,J67,L67)</f>
        <v>0</v>
      </c>
      <c r="W67">
        <f>AVERAGE(N67,P67,R67)</f>
        <v>0</v>
      </c>
    </row>
    <row r="68" spans="1:23">
      <c r="A68">
        <v>6358</v>
      </c>
      <c r="B68">
        <v>0</v>
      </c>
      <c r="C68">
        <v>6358</v>
      </c>
      <c r="D68">
        <v>0</v>
      </c>
      <c r="E68">
        <v>6358</v>
      </c>
      <c r="F68">
        <v>0</v>
      </c>
      <c r="G68">
        <v>6358</v>
      </c>
      <c r="H68">
        <v>0</v>
      </c>
      <c r="I68">
        <v>6358</v>
      </c>
      <c r="J68">
        <v>0</v>
      </c>
      <c r="K68">
        <v>6358</v>
      </c>
      <c r="L68">
        <v>0</v>
      </c>
      <c r="M68">
        <v>6358</v>
      </c>
      <c r="N68">
        <v>0</v>
      </c>
      <c r="O68">
        <v>6358</v>
      </c>
      <c r="P68">
        <v>0</v>
      </c>
      <c r="Q68">
        <v>6358</v>
      </c>
      <c r="R68">
        <v>0</v>
      </c>
      <c r="T68">
        <v>6358</v>
      </c>
      <c r="U68">
        <f>AVERAGE(B68,D68,F68)</f>
        <v>0</v>
      </c>
      <c r="V68">
        <f>AVERAGE(H68,J68,L68)</f>
        <v>0</v>
      </c>
      <c r="W68">
        <f>AVERAGE(N68,P68,R68)</f>
        <v>0</v>
      </c>
    </row>
    <row r="69" spans="1:23">
      <c r="A69">
        <v>7394</v>
      </c>
      <c r="B69">
        <v>0</v>
      </c>
      <c r="C69">
        <v>7394</v>
      </c>
      <c r="D69">
        <v>0</v>
      </c>
      <c r="E69">
        <v>7394</v>
      </c>
      <c r="F69">
        <v>0</v>
      </c>
      <c r="G69">
        <v>7394</v>
      </c>
      <c r="H69">
        <v>0</v>
      </c>
      <c r="I69">
        <v>7394</v>
      </c>
      <c r="J69">
        <v>0</v>
      </c>
      <c r="K69">
        <v>7394</v>
      </c>
      <c r="L69">
        <v>0</v>
      </c>
      <c r="M69">
        <v>7394</v>
      </c>
      <c r="N69">
        <v>0</v>
      </c>
      <c r="O69">
        <v>7394</v>
      </c>
      <c r="P69">
        <v>0</v>
      </c>
      <c r="Q69">
        <v>7394</v>
      </c>
      <c r="R69">
        <v>0</v>
      </c>
      <c r="T69">
        <v>7394</v>
      </c>
      <c r="U69">
        <f>AVERAGE(B69,D69,F69)</f>
        <v>0</v>
      </c>
      <c r="V69">
        <f>AVERAGE(H69,J69,L69)</f>
        <v>0</v>
      </c>
      <c r="W69">
        <f>AVERAGE(N69,P69,R69)</f>
        <v>0</v>
      </c>
    </row>
    <row r="70" spans="1:23">
      <c r="A70">
        <v>8599</v>
      </c>
      <c r="B70">
        <v>0</v>
      </c>
      <c r="C70">
        <v>8599</v>
      </c>
      <c r="D70">
        <v>0</v>
      </c>
      <c r="E70">
        <v>8599</v>
      </c>
      <c r="F70">
        <v>0</v>
      </c>
      <c r="G70">
        <v>8599</v>
      </c>
      <c r="H70">
        <v>0</v>
      </c>
      <c r="I70">
        <v>8599</v>
      </c>
      <c r="J70">
        <v>0</v>
      </c>
      <c r="K70">
        <v>8599</v>
      </c>
      <c r="L70">
        <v>0</v>
      </c>
      <c r="M70">
        <v>8599</v>
      </c>
      <c r="N70">
        <v>0</v>
      </c>
      <c r="O70">
        <v>8599</v>
      </c>
      <c r="P70">
        <v>0</v>
      </c>
      <c r="Q70">
        <v>8599</v>
      </c>
      <c r="R70">
        <v>0</v>
      </c>
      <c r="T70">
        <v>8599</v>
      </c>
      <c r="U70">
        <f>AVERAGE(B70,D70,F70)</f>
        <v>0</v>
      </c>
      <c r="V70">
        <f>AVERAGE(H70,J70,L70)</f>
        <v>0</v>
      </c>
      <c r="W70">
        <f>AVERAGE(N70,P70,R70)</f>
        <v>0</v>
      </c>
    </row>
    <row r="71" spans="1:23">
      <c r="A71" s="1">
        <v>10000</v>
      </c>
      <c r="B71">
        <v>0</v>
      </c>
      <c r="C71" s="1">
        <v>10000</v>
      </c>
      <c r="D71">
        <v>0</v>
      </c>
      <c r="E71" s="1">
        <v>10000</v>
      </c>
      <c r="F71">
        <v>0</v>
      </c>
      <c r="G71" s="1">
        <v>10000</v>
      </c>
      <c r="H71">
        <v>0</v>
      </c>
      <c r="I71" s="1">
        <v>10000</v>
      </c>
      <c r="J71">
        <v>0</v>
      </c>
      <c r="K71" s="1">
        <v>10000</v>
      </c>
      <c r="L71">
        <v>0</v>
      </c>
      <c r="M71" s="1">
        <v>10000</v>
      </c>
      <c r="N71">
        <v>0</v>
      </c>
      <c r="O71" s="1">
        <v>10000</v>
      </c>
      <c r="P71">
        <v>0</v>
      </c>
      <c r="Q71" s="1">
        <v>10000</v>
      </c>
      <c r="R71">
        <v>0</v>
      </c>
      <c r="T71">
        <v>10000</v>
      </c>
      <c r="U71">
        <f>AVERAGE(B71,D71,F71)</f>
        <v>0</v>
      </c>
      <c r="V71">
        <f>AVERAGE(H71,J71,L71)</f>
        <v>0</v>
      </c>
      <c r="W71">
        <f>AVERAGE(N71,P71,R71)</f>
        <v>0</v>
      </c>
    </row>
    <row r="73" spans="1:23">
      <c r="I73" t="s">
        <v>82</v>
      </c>
      <c r="P73" t="s">
        <v>99</v>
      </c>
      <c r="Q73" t="s">
        <v>100</v>
      </c>
      <c r="R73" t="s">
        <v>101</v>
      </c>
    </row>
    <row r="74" spans="1:23" ht="47.25">
      <c r="I74" s="2" t="s">
        <v>102</v>
      </c>
      <c r="J74" s="2">
        <v>301.8</v>
      </c>
      <c r="K74" s="2">
        <v>5.476</v>
      </c>
      <c r="L74" s="2">
        <v>1.8149999999999999</v>
      </c>
      <c r="M74" s="2">
        <v>296.89999999999998</v>
      </c>
      <c r="N74" s="2">
        <v>307.7</v>
      </c>
      <c r="P74" s="2">
        <v>339.1</v>
      </c>
      <c r="Q74" s="2">
        <v>307.7</v>
      </c>
      <c r="R74" s="2">
        <v>313.5</v>
      </c>
    </row>
    <row r="75" spans="1:23" ht="47.25">
      <c r="I75" s="2" t="s">
        <v>103</v>
      </c>
      <c r="J75" s="2">
        <v>0.19289999999999999</v>
      </c>
      <c r="K75" s="2">
        <v>7.9229999999999995E-2</v>
      </c>
      <c r="L75" s="2">
        <v>41.07</v>
      </c>
      <c r="M75" s="2">
        <v>0.1014</v>
      </c>
      <c r="N75" s="2">
        <v>0.2387</v>
      </c>
      <c r="P75" s="2">
        <v>251.4</v>
      </c>
      <c r="Q75" s="2">
        <v>247</v>
      </c>
      <c r="R75" s="2">
        <v>250.8</v>
      </c>
    </row>
    <row r="76" spans="1:23" ht="63">
      <c r="I76" s="2" t="s">
        <v>104</v>
      </c>
      <c r="J76" s="2">
        <v>300.3</v>
      </c>
      <c r="K76" s="2">
        <v>18.010000000000002</v>
      </c>
      <c r="L76" s="2">
        <v>5.9960000000000004</v>
      </c>
      <c r="M76" s="2">
        <v>288.8</v>
      </c>
      <c r="N76" s="2">
        <v>321.10000000000002</v>
      </c>
      <c r="P76" s="2">
        <v>304.3</v>
      </c>
      <c r="Q76" s="2">
        <v>320.89999999999998</v>
      </c>
      <c r="R76" s="2">
        <v>289.39999999999998</v>
      </c>
    </row>
    <row r="77" spans="1:23" ht="63">
      <c r="I77" s="2" t="s">
        <v>105</v>
      </c>
      <c r="J77" s="2">
        <v>100</v>
      </c>
      <c r="K77" s="2">
        <v>0</v>
      </c>
      <c r="L77" s="2">
        <v>0</v>
      </c>
      <c r="M77" s="2">
        <v>100</v>
      </c>
      <c r="N77" s="2">
        <v>100</v>
      </c>
    </row>
    <row r="79" spans="1:23">
      <c r="I79" s="2" t="s">
        <v>85</v>
      </c>
    </row>
    <row r="80" spans="1:23" ht="47.25">
      <c r="I80" s="2" t="s">
        <v>102</v>
      </c>
      <c r="J80" s="2">
        <v>249.7</v>
      </c>
      <c r="K80" s="2">
        <v>2.3690000000000002</v>
      </c>
      <c r="L80" s="2">
        <v>0.94869999999999999</v>
      </c>
      <c r="M80" s="2">
        <v>247</v>
      </c>
      <c r="N80" s="2">
        <v>251.4</v>
      </c>
    </row>
    <row r="81" spans="9:14" ht="47.25">
      <c r="I81" s="2" t="s">
        <v>103</v>
      </c>
      <c r="J81" s="2">
        <v>0.16259999999999999</v>
      </c>
      <c r="K81" s="2">
        <v>4.2369999999999998E-2</v>
      </c>
      <c r="L81" s="2">
        <v>26.05</v>
      </c>
      <c r="M81" s="2">
        <v>0.1137</v>
      </c>
      <c r="N81" s="2">
        <v>0.18790000000000001</v>
      </c>
    </row>
    <row r="82" spans="9:14" ht="63">
      <c r="I82" s="2" t="s">
        <v>104</v>
      </c>
      <c r="J82" s="2">
        <v>254.6</v>
      </c>
      <c r="K82" s="2">
        <v>13.15</v>
      </c>
      <c r="L82" s="2">
        <v>5.1660000000000004</v>
      </c>
      <c r="M82" s="2">
        <v>246.7</v>
      </c>
      <c r="N82" s="2">
        <v>269.7</v>
      </c>
    </row>
    <row r="83" spans="9:14" ht="63">
      <c r="I83" s="2" t="s">
        <v>105</v>
      </c>
      <c r="J83" s="2">
        <v>100</v>
      </c>
      <c r="K83" s="2">
        <v>0</v>
      </c>
      <c r="L83" s="2">
        <v>0</v>
      </c>
      <c r="M83" s="2">
        <v>100</v>
      </c>
      <c r="N83" s="2">
        <v>100</v>
      </c>
    </row>
    <row r="85" spans="9:14">
      <c r="I85" s="2" t="s">
        <v>86</v>
      </c>
    </row>
    <row r="86" spans="9:14" ht="47.25">
      <c r="I86" s="2" t="s">
        <v>102</v>
      </c>
      <c r="J86" s="2">
        <v>280.2</v>
      </c>
      <c r="K86" s="2">
        <v>8.0670000000000002</v>
      </c>
      <c r="L86" s="2">
        <v>2.88</v>
      </c>
      <c r="M86" s="2">
        <v>274.60000000000002</v>
      </c>
      <c r="N86" s="2">
        <v>289.39999999999998</v>
      </c>
    </row>
    <row r="87" spans="9:14" ht="47.25">
      <c r="I87" s="2" t="s">
        <v>103</v>
      </c>
      <c r="J87" s="2">
        <v>0.35899999999999999</v>
      </c>
      <c r="K87" s="2">
        <v>2.4680000000000001E-2</v>
      </c>
      <c r="L87" s="2">
        <v>6.875</v>
      </c>
      <c r="M87" s="2">
        <v>0.3306</v>
      </c>
      <c r="N87" s="2">
        <v>0.37540000000000001</v>
      </c>
    </row>
    <row r="88" spans="9:14" ht="63">
      <c r="I88" s="2" t="s">
        <v>104</v>
      </c>
      <c r="J88" s="2">
        <v>233.1</v>
      </c>
      <c r="K88" s="2">
        <v>11.02</v>
      </c>
      <c r="L88" s="2">
        <v>4.7249999999999996</v>
      </c>
      <c r="M88" s="2">
        <v>220.4</v>
      </c>
      <c r="N88" s="2">
        <v>239.7</v>
      </c>
    </row>
    <row r="89" spans="9:14" ht="63">
      <c r="I89" s="2" t="s">
        <v>105</v>
      </c>
      <c r="J89" s="2">
        <v>100</v>
      </c>
      <c r="K89" s="2">
        <v>0</v>
      </c>
      <c r="L89" s="2">
        <v>0</v>
      </c>
      <c r="M89" s="2">
        <v>100</v>
      </c>
      <c r="N89" s="2">
        <v>100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21F97-F4F1-43F6-AAD3-CBC04A977EEB}">
  <dimension ref="A1:AB89"/>
  <sheetViews>
    <sheetView topLeftCell="N1" workbookViewId="0">
      <selection activeCell="X7" sqref="X7"/>
    </sheetView>
  </sheetViews>
  <sheetFormatPr defaultRowHeight="15.75"/>
  <sheetData>
    <row r="1" spans="1:28">
      <c r="A1" t="s">
        <v>112</v>
      </c>
      <c r="B1" t="s">
        <v>113</v>
      </c>
      <c r="C1" t="s">
        <v>112</v>
      </c>
      <c r="D1" t="s">
        <v>113</v>
      </c>
      <c r="E1" t="s">
        <v>112</v>
      </c>
      <c r="F1" t="s">
        <v>113</v>
      </c>
      <c r="G1" t="s">
        <v>112</v>
      </c>
      <c r="H1" t="s">
        <v>113</v>
      </c>
      <c r="I1" t="s">
        <v>112</v>
      </c>
      <c r="J1" t="s">
        <v>113</v>
      </c>
      <c r="K1" t="s">
        <v>114</v>
      </c>
      <c r="L1" t="s">
        <v>115</v>
      </c>
      <c r="M1" t="s">
        <v>114</v>
      </c>
      <c r="N1" t="s">
        <v>115</v>
      </c>
      <c r="O1" t="s">
        <v>116</v>
      </c>
      <c r="P1" t="s">
        <v>117</v>
      </c>
      <c r="Q1" t="s">
        <v>116</v>
      </c>
      <c r="R1" t="s">
        <v>117</v>
      </c>
      <c r="S1" t="s">
        <v>116</v>
      </c>
      <c r="T1" t="s">
        <v>117</v>
      </c>
      <c r="U1" t="s">
        <v>116</v>
      </c>
      <c r="V1" t="s">
        <v>117</v>
      </c>
      <c r="Y1" t="str" cm="1">
        <f t="array" ref="Y1:Y71">A1:A71</f>
        <v>Size (d.nm) - 3E_S2_2xCen_20250514 [Steady state]</v>
      </c>
      <c r="Z1" t="s">
        <v>21</v>
      </c>
      <c r="AA1" t="s">
        <v>22</v>
      </c>
      <c r="AB1" t="s">
        <v>23</v>
      </c>
    </row>
    <row r="2" spans="1:28">
      <c r="A2">
        <v>0.3</v>
      </c>
      <c r="B2">
        <v>0</v>
      </c>
      <c r="C2">
        <v>0.3</v>
      </c>
      <c r="D2">
        <v>0</v>
      </c>
      <c r="E2">
        <v>0.3</v>
      </c>
      <c r="F2">
        <v>0</v>
      </c>
      <c r="G2">
        <v>0.3</v>
      </c>
      <c r="H2">
        <v>0</v>
      </c>
      <c r="I2">
        <v>0.3</v>
      </c>
      <c r="J2">
        <v>0</v>
      </c>
      <c r="K2">
        <v>0.3</v>
      </c>
      <c r="L2">
        <v>0</v>
      </c>
      <c r="M2">
        <v>0.3</v>
      </c>
      <c r="N2">
        <v>0</v>
      </c>
      <c r="O2">
        <v>0.3</v>
      </c>
      <c r="P2">
        <v>0</v>
      </c>
      <c r="Q2">
        <v>0.3</v>
      </c>
      <c r="R2">
        <v>0</v>
      </c>
      <c r="S2">
        <v>0.3</v>
      </c>
      <c r="T2">
        <v>0</v>
      </c>
      <c r="U2">
        <v>0.3</v>
      </c>
      <c r="V2">
        <v>0</v>
      </c>
      <c r="Y2">
        <v>0.3</v>
      </c>
      <c r="Z2">
        <f>AVERAGE(B2,D2,F2)</f>
        <v>0</v>
      </c>
      <c r="AA2">
        <f>AVERAGE(H2,J2,L2)</f>
        <v>0</v>
      </c>
      <c r="AB2">
        <f>AVERAGE(N2,P2,V2)</f>
        <v>0</v>
      </c>
    </row>
    <row r="3" spans="1:28">
      <c r="A3">
        <v>0.34889999999999999</v>
      </c>
      <c r="B3">
        <v>0</v>
      </c>
      <c r="C3">
        <v>0.34889999999999999</v>
      </c>
      <c r="D3">
        <v>0</v>
      </c>
      <c r="E3">
        <v>0.34889999999999999</v>
      </c>
      <c r="F3">
        <v>0</v>
      </c>
      <c r="G3">
        <v>0.34889999999999999</v>
      </c>
      <c r="H3">
        <v>0</v>
      </c>
      <c r="I3">
        <v>0.34889999999999999</v>
      </c>
      <c r="J3">
        <v>0</v>
      </c>
      <c r="K3">
        <v>0.34889999999999999</v>
      </c>
      <c r="L3">
        <v>0</v>
      </c>
      <c r="M3">
        <v>0.34889999999999999</v>
      </c>
      <c r="N3">
        <v>0</v>
      </c>
      <c r="O3">
        <v>0.34889999999999999</v>
      </c>
      <c r="P3">
        <v>0</v>
      </c>
      <c r="Q3">
        <v>0.34889999999999999</v>
      </c>
      <c r="R3">
        <v>0</v>
      </c>
      <c r="S3">
        <v>0.34889999999999999</v>
      </c>
      <c r="T3">
        <v>0</v>
      </c>
      <c r="U3">
        <v>0.34889999999999999</v>
      </c>
      <c r="V3">
        <v>0</v>
      </c>
      <c r="Y3">
        <v>0.34889999999999999</v>
      </c>
      <c r="Z3">
        <f t="shared" ref="Z3:Z66" si="0">AVERAGE(B3,D3,F3)</f>
        <v>0</v>
      </c>
      <c r="AA3">
        <f t="shared" ref="AA3:AA66" si="1">AVERAGE(H3,J3,L3)</f>
        <v>0</v>
      </c>
      <c r="AB3">
        <f t="shared" ref="AB3:AB66" si="2">AVERAGE(N3,P3,V3)</f>
        <v>0</v>
      </c>
    </row>
    <row r="4" spans="1:28">
      <c r="A4">
        <v>0.40570000000000001</v>
      </c>
      <c r="B4">
        <v>0</v>
      </c>
      <c r="C4">
        <v>0.40570000000000001</v>
      </c>
      <c r="D4">
        <v>0</v>
      </c>
      <c r="E4">
        <v>0.40570000000000001</v>
      </c>
      <c r="F4">
        <v>0</v>
      </c>
      <c r="G4">
        <v>0.40570000000000001</v>
      </c>
      <c r="H4">
        <v>0</v>
      </c>
      <c r="I4">
        <v>0.40570000000000001</v>
      </c>
      <c r="J4">
        <v>0</v>
      </c>
      <c r="K4">
        <v>0.40570000000000001</v>
      </c>
      <c r="L4">
        <v>0</v>
      </c>
      <c r="M4">
        <v>0.40570000000000001</v>
      </c>
      <c r="N4">
        <v>0</v>
      </c>
      <c r="O4">
        <v>0.40570000000000001</v>
      </c>
      <c r="P4">
        <v>0</v>
      </c>
      <c r="Q4">
        <v>0.40570000000000001</v>
      </c>
      <c r="R4">
        <v>0</v>
      </c>
      <c r="S4">
        <v>0.40570000000000001</v>
      </c>
      <c r="T4">
        <v>0</v>
      </c>
      <c r="U4">
        <v>0.40570000000000001</v>
      </c>
      <c r="V4">
        <v>0</v>
      </c>
      <c r="Y4">
        <v>0.40570000000000001</v>
      </c>
      <c r="Z4">
        <f t="shared" si="0"/>
        <v>0</v>
      </c>
      <c r="AA4">
        <f t="shared" si="1"/>
        <v>0</v>
      </c>
      <c r="AB4">
        <f t="shared" si="2"/>
        <v>0</v>
      </c>
    </row>
    <row r="5" spans="1:28">
      <c r="A5">
        <v>0.4718</v>
      </c>
      <c r="B5">
        <v>0</v>
      </c>
      <c r="C5">
        <v>0.4718</v>
      </c>
      <c r="D5">
        <v>0</v>
      </c>
      <c r="E5">
        <v>0.4718</v>
      </c>
      <c r="F5">
        <v>0</v>
      </c>
      <c r="G5">
        <v>0.4718</v>
      </c>
      <c r="H5">
        <v>0</v>
      </c>
      <c r="I5">
        <v>0.4718</v>
      </c>
      <c r="J5">
        <v>0</v>
      </c>
      <c r="K5">
        <v>0.4718</v>
      </c>
      <c r="L5">
        <v>0</v>
      </c>
      <c r="M5">
        <v>0.4718</v>
      </c>
      <c r="N5">
        <v>0</v>
      </c>
      <c r="O5">
        <v>0.4718</v>
      </c>
      <c r="P5">
        <v>0</v>
      </c>
      <c r="Q5">
        <v>0.4718</v>
      </c>
      <c r="R5">
        <v>0</v>
      </c>
      <c r="S5">
        <v>0.4718</v>
      </c>
      <c r="T5">
        <v>0</v>
      </c>
      <c r="U5">
        <v>0.4718</v>
      </c>
      <c r="V5">
        <v>0</v>
      </c>
      <c r="Y5">
        <v>0.4718</v>
      </c>
      <c r="Z5">
        <f t="shared" si="0"/>
        <v>0</v>
      </c>
      <c r="AA5">
        <f t="shared" si="1"/>
        <v>0</v>
      </c>
      <c r="AB5">
        <f t="shared" si="2"/>
        <v>0</v>
      </c>
    </row>
    <row r="6" spans="1:28">
      <c r="A6">
        <v>0.54869999999999997</v>
      </c>
      <c r="B6">
        <v>0</v>
      </c>
      <c r="C6">
        <v>0.54869999999999997</v>
      </c>
      <c r="D6">
        <v>0</v>
      </c>
      <c r="E6">
        <v>0.54869999999999997</v>
      </c>
      <c r="F6">
        <v>0</v>
      </c>
      <c r="G6">
        <v>0.54869999999999997</v>
      </c>
      <c r="H6">
        <v>0</v>
      </c>
      <c r="I6">
        <v>0.54869999999999997</v>
      </c>
      <c r="J6">
        <v>0</v>
      </c>
      <c r="K6">
        <v>0.54869999999999997</v>
      </c>
      <c r="L6">
        <v>0</v>
      </c>
      <c r="M6">
        <v>0.54869999999999997</v>
      </c>
      <c r="N6">
        <v>0</v>
      </c>
      <c r="O6">
        <v>0.54869999999999997</v>
      </c>
      <c r="P6">
        <v>0</v>
      </c>
      <c r="Q6">
        <v>0.54869999999999997</v>
      </c>
      <c r="R6">
        <v>0</v>
      </c>
      <c r="S6">
        <v>0.54869999999999997</v>
      </c>
      <c r="T6">
        <v>0</v>
      </c>
      <c r="U6">
        <v>0.54869999999999997</v>
      </c>
      <c r="V6">
        <v>0</v>
      </c>
      <c r="Y6">
        <v>0.54869999999999997</v>
      </c>
      <c r="Z6">
        <f t="shared" si="0"/>
        <v>0</v>
      </c>
      <c r="AA6">
        <f t="shared" si="1"/>
        <v>0</v>
      </c>
      <c r="AB6">
        <f t="shared" si="2"/>
        <v>0</v>
      </c>
    </row>
    <row r="7" spans="1:28">
      <c r="A7">
        <v>0.6381</v>
      </c>
      <c r="B7">
        <v>0</v>
      </c>
      <c r="C7">
        <v>0.6381</v>
      </c>
      <c r="D7">
        <v>0</v>
      </c>
      <c r="E7">
        <v>0.6381</v>
      </c>
      <c r="F7">
        <v>0</v>
      </c>
      <c r="G7">
        <v>0.6381</v>
      </c>
      <c r="H7">
        <v>0</v>
      </c>
      <c r="I7">
        <v>0.6381</v>
      </c>
      <c r="J7">
        <v>0</v>
      </c>
      <c r="K7">
        <v>0.6381</v>
      </c>
      <c r="L7">
        <v>0</v>
      </c>
      <c r="M7">
        <v>0.6381</v>
      </c>
      <c r="N7">
        <v>0</v>
      </c>
      <c r="O7">
        <v>0.6381</v>
      </c>
      <c r="P7">
        <v>0</v>
      </c>
      <c r="Q7">
        <v>0.6381</v>
      </c>
      <c r="R7">
        <v>0</v>
      </c>
      <c r="S7">
        <v>0.6381</v>
      </c>
      <c r="T7">
        <v>0</v>
      </c>
      <c r="U7">
        <v>0.6381</v>
      </c>
      <c r="V7">
        <v>0</v>
      </c>
      <c r="Y7">
        <v>0.6381</v>
      </c>
      <c r="Z7">
        <f t="shared" si="0"/>
        <v>0</v>
      </c>
      <c r="AA7">
        <f t="shared" si="1"/>
        <v>0</v>
      </c>
      <c r="AB7">
        <f t="shared" si="2"/>
        <v>0</v>
      </c>
    </row>
    <row r="8" spans="1:28">
      <c r="A8">
        <v>0.74199999999999999</v>
      </c>
      <c r="B8">
        <v>0</v>
      </c>
      <c r="C8">
        <v>0.74199999999999999</v>
      </c>
      <c r="D8">
        <v>0</v>
      </c>
      <c r="E8">
        <v>0.74199999999999999</v>
      </c>
      <c r="F8">
        <v>0</v>
      </c>
      <c r="G8">
        <v>0.74199999999999999</v>
      </c>
      <c r="H8">
        <v>0</v>
      </c>
      <c r="I8">
        <v>0.74199999999999999</v>
      </c>
      <c r="J8">
        <v>0</v>
      </c>
      <c r="K8">
        <v>0.74199999999999999</v>
      </c>
      <c r="L8">
        <v>0</v>
      </c>
      <c r="M8">
        <v>0.74199999999999999</v>
      </c>
      <c r="N8">
        <v>0</v>
      </c>
      <c r="O8">
        <v>0.74199999999999999</v>
      </c>
      <c r="P8">
        <v>0</v>
      </c>
      <c r="Q8">
        <v>0.74199999999999999</v>
      </c>
      <c r="R8">
        <v>0</v>
      </c>
      <c r="S8">
        <v>0.74199999999999999</v>
      </c>
      <c r="T8">
        <v>0</v>
      </c>
      <c r="U8">
        <v>0.74199999999999999</v>
      </c>
      <c r="V8">
        <v>0</v>
      </c>
      <c r="Y8">
        <v>0.74199999999999999</v>
      </c>
      <c r="Z8">
        <f t="shared" si="0"/>
        <v>0</v>
      </c>
      <c r="AA8">
        <f t="shared" si="1"/>
        <v>0</v>
      </c>
      <c r="AB8">
        <f t="shared" si="2"/>
        <v>0</v>
      </c>
    </row>
    <row r="9" spans="1:28">
      <c r="A9">
        <v>0.8629</v>
      </c>
      <c r="B9">
        <v>0</v>
      </c>
      <c r="C9">
        <v>0.8629</v>
      </c>
      <c r="D9">
        <v>0</v>
      </c>
      <c r="E9">
        <v>0.8629</v>
      </c>
      <c r="F9">
        <v>0</v>
      </c>
      <c r="G9">
        <v>0.8629</v>
      </c>
      <c r="H9">
        <v>0</v>
      </c>
      <c r="I9">
        <v>0.8629</v>
      </c>
      <c r="J9">
        <v>0</v>
      </c>
      <c r="K9">
        <v>0.8629</v>
      </c>
      <c r="L9">
        <v>0</v>
      </c>
      <c r="M9">
        <v>0.8629</v>
      </c>
      <c r="N9">
        <v>0</v>
      </c>
      <c r="O9">
        <v>0.8629</v>
      </c>
      <c r="P9">
        <v>0</v>
      </c>
      <c r="Q9">
        <v>0.8629</v>
      </c>
      <c r="R9">
        <v>0</v>
      </c>
      <c r="S9">
        <v>0.8629</v>
      </c>
      <c r="T9">
        <v>0</v>
      </c>
      <c r="U9">
        <v>0.8629</v>
      </c>
      <c r="V9">
        <v>0</v>
      </c>
      <c r="Y9">
        <v>0.8629</v>
      </c>
      <c r="Z9">
        <f t="shared" si="0"/>
        <v>0</v>
      </c>
      <c r="AA9">
        <f t="shared" si="1"/>
        <v>0</v>
      </c>
      <c r="AB9">
        <f t="shared" si="2"/>
        <v>0</v>
      </c>
    </row>
    <row r="10" spans="1:28">
      <c r="A10">
        <v>1.0029999999999999</v>
      </c>
      <c r="B10">
        <v>0</v>
      </c>
      <c r="C10">
        <v>1.0029999999999999</v>
      </c>
      <c r="D10">
        <v>0</v>
      </c>
      <c r="E10">
        <v>1.0029999999999999</v>
      </c>
      <c r="F10">
        <v>0</v>
      </c>
      <c r="G10">
        <v>1.0029999999999999</v>
      </c>
      <c r="H10">
        <v>0</v>
      </c>
      <c r="I10">
        <v>1.0029999999999999</v>
      </c>
      <c r="J10">
        <v>0</v>
      </c>
      <c r="K10">
        <v>1.0029999999999999</v>
      </c>
      <c r="L10">
        <v>0</v>
      </c>
      <c r="M10">
        <v>1.0029999999999999</v>
      </c>
      <c r="N10">
        <v>0</v>
      </c>
      <c r="O10">
        <v>1.0029999999999999</v>
      </c>
      <c r="P10">
        <v>0</v>
      </c>
      <c r="Q10">
        <v>1.0029999999999999</v>
      </c>
      <c r="R10">
        <v>0</v>
      </c>
      <c r="S10">
        <v>1.0029999999999999</v>
      </c>
      <c r="T10">
        <v>0</v>
      </c>
      <c r="U10">
        <v>1.0029999999999999</v>
      </c>
      <c r="V10">
        <v>0</v>
      </c>
      <c r="Y10">
        <v>1.0029999999999999</v>
      </c>
      <c r="Z10">
        <f t="shared" si="0"/>
        <v>0</v>
      </c>
      <c r="AA10">
        <f t="shared" si="1"/>
        <v>0</v>
      </c>
      <c r="AB10">
        <f t="shared" si="2"/>
        <v>0</v>
      </c>
    </row>
    <row r="11" spans="1:28">
      <c r="A11">
        <v>1.167</v>
      </c>
      <c r="B11">
        <v>0</v>
      </c>
      <c r="C11">
        <v>1.167</v>
      </c>
      <c r="D11">
        <v>0</v>
      </c>
      <c r="E11">
        <v>1.167</v>
      </c>
      <c r="F11">
        <v>0</v>
      </c>
      <c r="G11">
        <v>1.167</v>
      </c>
      <c r="H11">
        <v>0</v>
      </c>
      <c r="I11">
        <v>1.167</v>
      </c>
      <c r="J11">
        <v>0</v>
      </c>
      <c r="K11">
        <v>1.167</v>
      </c>
      <c r="L11">
        <v>0</v>
      </c>
      <c r="M11">
        <v>1.167</v>
      </c>
      <c r="N11">
        <v>0</v>
      </c>
      <c r="O11">
        <v>1.167</v>
      </c>
      <c r="P11">
        <v>0</v>
      </c>
      <c r="Q11">
        <v>1.167</v>
      </c>
      <c r="R11">
        <v>0</v>
      </c>
      <c r="S11">
        <v>1.167</v>
      </c>
      <c r="T11">
        <v>0</v>
      </c>
      <c r="U11">
        <v>1.167</v>
      </c>
      <c r="V11">
        <v>0</v>
      </c>
      <c r="Y11">
        <v>1.167</v>
      </c>
      <c r="Z11">
        <f t="shared" si="0"/>
        <v>0</v>
      </c>
      <c r="AA11">
        <f t="shared" si="1"/>
        <v>0</v>
      </c>
      <c r="AB11">
        <f t="shared" si="2"/>
        <v>0</v>
      </c>
    </row>
    <row r="12" spans="1:28">
      <c r="A12">
        <v>1.357</v>
      </c>
      <c r="B12">
        <v>0</v>
      </c>
      <c r="C12">
        <v>1.357</v>
      </c>
      <c r="D12">
        <v>0</v>
      </c>
      <c r="E12">
        <v>1.357</v>
      </c>
      <c r="F12">
        <v>0</v>
      </c>
      <c r="G12">
        <v>1.357</v>
      </c>
      <c r="H12">
        <v>0</v>
      </c>
      <c r="I12">
        <v>1.357</v>
      </c>
      <c r="J12">
        <v>0</v>
      </c>
      <c r="K12">
        <v>1.357</v>
      </c>
      <c r="L12">
        <v>0</v>
      </c>
      <c r="M12">
        <v>1.357</v>
      </c>
      <c r="N12">
        <v>0</v>
      </c>
      <c r="O12">
        <v>1.357</v>
      </c>
      <c r="P12">
        <v>0</v>
      </c>
      <c r="Q12">
        <v>1.357</v>
      </c>
      <c r="R12">
        <v>0</v>
      </c>
      <c r="S12">
        <v>1.357</v>
      </c>
      <c r="T12">
        <v>0</v>
      </c>
      <c r="U12">
        <v>1.357</v>
      </c>
      <c r="V12">
        <v>0</v>
      </c>
      <c r="Y12">
        <v>1.357</v>
      </c>
      <c r="Z12">
        <f t="shared" si="0"/>
        <v>0</v>
      </c>
      <c r="AA12">
        <f t="shared" si="1"/>
        <v>0</v>
      </c>
      <c r="AB12">
        <f t="shared" si="2"/>
        <v>0</v>
      </c>
    </row>
    <row r="13" spans="1:28">
      <c r="A13">
        <v>1.5780000000000001</v>
      </c>
      <c r="B13">
        <v>0</v>
      </c>
      <c r="C13">
        <v>1.5780000000000001</v>
      </c>
      <c r="D13">
        <v>0</v>
      </c>
      <c r="E13">
        <v>1.5780000000000001</v>
      </c>
      <c r="F13">
        <v>0</v>
      </c>
      <c r="G13">
        <v>1.5780000000000001</v>
      </c>
      <c r="H13">
        <v>0</v>
      </c>
      <c r="I13">
        <v>1.5780000000000001</v>
      </c>
      <c r="J13">
        <v>0</v>
      </c>
      <c r="K13">
        <v>1.5780000000000001</v>
      </c>
      <c r="L13">
        <v>0</v>
      </c>
      <c r="M13">
        <v>1.5780000000000001</v>
      </c>
      <c r="N13">
        <v>0</v>
      </c>
      <c r="O13">
        <v>1.5780000000000001</v>
      </c>
      <c r="P13">
        <v>0</v>
      </c>
      <c r="Q13">
        <v>1.5780000000000001</v>
      </c>
      <c r="R13">
        <v>0</v>
      </c>
      <c r="S13">
        <v>1.5780000000000001</v>
      </c>
      <c r="T13">
        <v>0</v>
      </c>
      <c r="U13">
        <v>1.5780000000000001</v>
      </c>
      <c r="V13">
        <v>0</v>
      </c>
      <c r="Y13">
        <v>1.5780000000000001</v>
      </c>
      <c r="Z13">
        <f t="shared" si="0"/>
        <v>0</v>
      </c>
      <c r="AA13">
        <f t="shared" si="1"/>
        <v>0</v>
      </c>
      <c r="AB13">
        <f t="shared" si="2"/>
        <v>0</v>
      </c>
    </row>
    <row r="14" spans="1:28">
      <c r="A14">
        <v>1.835</v>
      </c>
      <c r="B14">
        <v>0</v>
      </c>
      <c r="C14">
        <v>1.835</v>
      </c>
      <c r="D14">
        <v>0</v>
      </c>
      <c r="E14">
        <v>1.835</v>
      </c>
      <c r="F14">
        <v>0</v>
      </c>
      <c r="G14">
        <v>1.835</v>
      </c>
      <c r="H14">
        <v>0</v>
      </c>
      <c r="I14">
        <v>1.835</v>
      </c>
      <c r="J14">
        <v>0</v>
      </c>
      <c r="K14">
        <v>1.835</v>
      </c>
      <c r="L14">
        <v>0</v>
      </c>
      <c r="M14">
        <v>1.835</v>
      </c>
      <c r="N14">
        <v>0</v>
      </c>
      <c r="O14">
        <v>1.835</v>
      </c>
      <c r="P14">
        <v>0</v>
      </c>
      <c r="Q14">
        <v>1.835</v>
      </c>
      <c r="R14">
        <v>0</v>
      </c>
      <c r="S14">
        <v>1.835</v>
      </c>
      <c r="T14">
        <v>0</v>
      </c>
      <c r="U14">
        <v>1.835</v>
      </c>
      <c r="V14">
        <v>0</v>
      </c>
      <c r="Y14">
        <v>1.835</v>
      </c>
      <c r="Z14">
        <f t="shared" si="0"/>
        <v>0</v>
      </c>
      <c r="AA14">
        <f t="shared" si="1"/>
        <v>0</v>
      </c>
      <c r="AB14">
        <f t="shared" si="2"/>
        <v>0</v>
      </c>
    </row>
    <row r="15" spans="1:28">
      <c r="A15">
        <v>2.1339999999999999</v>
      </c>
      <c r="B15">
        <v>0</v>
      </c>
      <c r="C15">
        <v>2.1339999999999999</v>
      </c>
      <c r="D15">
        <v>0</v>
      </c>
      <c r="E15">
        <v>2.1339999999999999</v>
      </c>
      <c r="F15">
        <v>0</v>
      </c>
      <c r="G15">
        <v>2.1339999999999999</v>
      </c>
      <c r="H15">
        <v>0</v>
      </c>
      <c r="I15">
        <v>2.1339999999999999</v>
      </c>
      <c r="J15">
        <v>0</v>
      </c>
      <c r="K15">
        <v>2.1339999999999999</v>
      </c>
      <c r="L15">
        <v>0</v>
      </c>
      <c r="M15">
        <v>2.1339999999999999</v>
      </c>
      <c r="N15">
        <v>0</v>
      </c>
      <c r="O15">
        <v>2.1339999999999999</v>
      </c>
      <c r="P15">
        <v>0</v>
      </c>
      <c r="Q15">
        <v>2.1339999999999999</v>
      </c>
      <c r="R15">
        <v>0</v>
      </c>
      <c r="S15">
        <v>2.1339999999999999</v>
      </c>
      <c r="T15">
        <v>0</v>
      </c>
      <c r="U15">
        <v>2.1339999999999999</v>
      </c>
      <c r="V15">
        <v>0</v>
      </c>
      <c r="Y15">
        <v>2.1339999999999999</v>
      </c>
      <c r="Z15">
        <f t="shared" si="0"/>
        <v>0</v>
      </c>
      <c r="AA15">
        <f t="shared" si="1"/>
        <v>0</v>
      </c>
      <c r="AB15">
        <f t="shared" si="2"/>
        <v>0</v>
      </c>
    </row>
    <row r="16" spans="1:28">
      <c r="A16">
        <v>2.4820000000000002</v>
      </c>
      <c r="B16">
        <v>0</v>
      </c>
      <c r="C16">
        <v>2.4820000000000002</v>
      </c>
      <c r="D16">
        <v>0</v>
      </c>
      <c r="E16">
        <v>2.4820000000000002</v>
      </c>
      <c r="F16">
        <v>0</v>
      </c>
      <c r="G16">
        <v>2.4820000000000002</v>
      </c>
      <c r="H16">
        <v>0</v>
      </c>
      <c r="I16">
        <v>2.4820000000000002</v>
      </c>
      <c r="J16">
        <v>0</v>
      </c>
      <c r="K16">
        <v>2.4820000000000002</v>
      </c>
      <c r="L16">
        <v>0</v>
      </c>
      <c r="M16">
        <v>2.4820000000000002</v>
      </c>
      <c r="N16">
        <v>0</v>
      </c>
      <c r="O16">
        <v>2.4820000000000002</v>
      </c>
      <c r="P16">
        <v>0</v>
      </c>
      <c r="Q16">
        <v>2.4820000000000002</v>
      </c>
      <c r="R16">
        <v>0</v>
      </c>
      <c r="S16">
        <v>2.4820000000000002</v>
      </c>
      <c r="T16">
        <v>0</v>
      </c>
      <c r="U16">
        <v>2.4820000000000002</v>
      </c>
      <c r="V16">
        <v>0</v>
      </c>
      <c r="Y16">
        <v>2.4820000000000002</v>
      </c>
      <c r="Z16">
        <f t="shared" si="0"/>
        <v>0</v>
      </c>
      <c r="AA16">
        <f t="shared" si="1"/>
        <v>0</v>
      </c>
      <c r="AB16">
        <f t="shared" si="2"/>
        <v>0</v>
      </c>
    </row>
    <row r="17" spans="1:28">
      <c r="A17">
        <v>2.8860000000000001</v>
      </c>
      <c r="B17">
        <v>0</v>
      </c>
      <c r="C17">
        <v>2.8860000000000001</v>
      </c>
      <c r="D17">
        <v>0</v>
      </c>
      <c r="E17">
        <v>2.8860000000000001</v>
      </c>
      <c r="F17">
        <v>0</v>
      </c>
      <c r="G17">
        <v>2.8860000000000001</v>
      </c>
      <c r="H17">
        <v>0</v>
      </c>
      <c r="I17">
        <v>2.8860000000000001</v>
      </c>
      <c r="J17">
        <v>0</v>
      </c>
      <c r="K17">
        <v>2.8860000000000001</v>
      </c>
      <c r="L17">
        <v>0</v>
      </c>
      <c r="M17">
        <v>2.8860000000000001</v>
      </c>
      <c r="N17">
        <v>0</v>
      </c>
      <c r="O17">
        <v>2.8860000000000001</v>
      </c>
      <c r="P17">
        <v>0</v>
      </c>
      <c r="Q17">
        <v>2.8860000000000001</v>
      </c>
      <c r="R17">
        <v>0</v>
      </c>
      <c r="S17">
        <v>2.8860000000000001</v>
      </c>
      <c r="T17">
        <v>0</v>
      </c>
      <c r="U17">
        <v>2.8860000000000001</v>
      </c>
      <c r="V17">
        <v>0</v>
      </c>
      <c r="Y17">
        <v>2.8860000000000001</v>
      </c>
      <c r="Z17">
        <f t="shared" si="0"/>
        <v>0</v>
      </c>
      <c r="AA17">
        <f t="shared" si="1"/>
        <v>0</v>
      </c>
      <c r="AB17">
        <f t="shared" si="2"/>
        <v>0</v>
      </c>
    </row>
    <row r="18" spans="1:28">
      <c r="A18">
        <v>3.3570000000000002</v>
      </c>
      <c r="B18">
        <v>0</v>
      </c>
      <c r="C18">
        <v>3.3570000000000002</v>
      </c>
      <c r="D18">
        <v>0</v>
      </c>
      <c r="E18">
        <v>3.3570000000000002</v>
      </c>
      <c r="F18">
        <v>0</v>
      </c>
      <c r="G18">
        <v>3.3570000000000002</v>
      </c>
      <c r="H18">
        <v>0</v>
      </c>
      <c r="I18">
        <v>3.3570000000000002</v>
      </c>
      <c r="J18">
        <v>0</v>
      </c>
      <c r="K18">
        <v>3.3570000000000002</v>
      </c>
      <c r="L18">
        <v>0</v>
      </c>
      <c r="M18">
        <v>3.3570000000000002</v>
      </c>
      <c r="N18">
        <v>0</v>
      </c>
      <c r="O18">
        <v>3.3570000000000002</v>
      </c>
      <c r="P18">
        <v>0</v>
      </c>
      <c r="Q18">
        <v>3.3570000000000002</v>
      </c>
      <c r="R18">
        <v>0</v>
      </c>
      <c r="S18">
        <v>3.3570000000000002</v>
      </c>
      <c r="T18">
        <v>0</v>
      </c>
      <c r="U18">
        <v>3.3570000000000002</v>
      </c>
      <c r="V18">
        <v>0</v>
      </c>
      <c r="Y18">
        <v>3.3570000000000002</v>
      </c>
      <c r="Z18">
        <f t="shared" si="0"/>
        <v>0</v>
      </c>
      <c r="AA18">
        <f t="shared" si="1"/>
        <v>0</v>
      </c>
      <c r="AB18">
        <f t="shared" si="2"/>
        <v>0</v>
      </c>
    </row>
    <row r="19" spans="1:28">
      <c r="A19">
        <v>3.903</v>
      </c>
      <c r="B19">
        <v>0</v>
      </c>
      <c r="C19">
        <v>3.903</v>
      </c>
      <c r="D19">
        <v>0</v>
      </c>
      <c r="E19">
        <v>3.903</v>
      </c>
      <c r="F19">
        <v>0</v>
      </c>
      <c r="G19">
        <v>3.903</v>
      </c>
      <c r="H19">
        <v>0</v>
      </c>
      <c r="I19">
        <v>3.903</v>
      </c>
      <c r="J19">
        <v>0</v>
      </c>
      <c r="K19">
        <v>3.903</v>
      </c>
      <c r="L19">
        <v>0</v>
      </c>
      <c r="M19">
        <v>3.903</v>
      </c>
      <c r="N19">
        <v>0</v>
      </c>
      <c r="O19">
        <v>3.903</v>
      </c>
      <c r="P19">
        <v>0</v>
      </c>
      <c r="Q19">
        <v>3.903</v>
      </c>
      <c r="R19">
        <v>0</v>
      </c>
      <c r="S19">
        <v>3.903</v>
      </c>
      <c r="T19">
        <v>0</v>
      </c>
      <c r="U19">
        <v>3.903</v>
      </c>
      <c r="V19">
        <v>0</v>
      </c>
      <c r="Y19">
        <v>3.903</v>
      </c>
      <c r="Z19">
        <f t="shared" si="0"/>
        <v>0</v>
      </c>
      <c r="AA19">
        <f t="shared" si="1"/>
        <v>0</v>
      </c>
      <c r="AB19">
        <f t="shared" si="2"/>
        <v>0</v>
      </c>
    </row>
    <row r="20" spans="1:28">
      <c r="A20">
        <v>4.5389999999999997</v>
      </c>
      <c r="B20">
        <v>0</v>
      </c>
      <c r="C20">
        <v>4.5389999999999997</v>
      </c>
      <c r="D20">
        <v>0</v>
      </c>
      <c r="E20">
        <v>4.5389999999999997</v>
      </c>
      <c r="F20">
        <v>0</v>
      </c>
      <c r="G20">
        <v>4.5389999999999997</v>
      </c>
      <c r="H20">
        <v>0</v>
      </c>
      <c r="I20">
        <v>4.5389999999999997</v>
      </c>
      <c r="J20">
        <v>0</v>
      </c>
      <c r="K20">
        <v>4.5389999999999997</v>
      </c>
      <c r="L20">
        <v>0</v>
      </c>
      <c r="M20">
        <v>4.5389999999999997</v>
      </c>
      <c r="N20">
        <v>0</v>
      </c>
      <c r="O20">
        <v>4.5389999999999997</v>
      </c>
      <c r="P20">
        <v>0</v>
      </c>
      <c r="Q20">
        <v>4.5389999999999997</v>
      </c>
      <c r="R20">
        <v>0</v>
      </c>
      <c r="S20">
        <v>4.5389999999999997</v>
      </c>
      <c r="T20">
        <v>0</v>
      </c>
      <c r="U20">
        <v>4.5389999999999997</v>
      </c>
      <c r="V20">
        <v>0</v>
      </c>
      <c r="Y20">
        <v>4.5389999999999997</v>
      </c>
      <c r="Z20">
        <f t="shared" si="0"/>
        <v>0</v>
      </c>
      <c r="AA20">
        <f t="shared" si="1"/>
        <v>0</v>
      </c>
      <c r="AB20">
        <f t="shared" si="2"/>
        <v>0</v>
      </c>
    </row>
    <row r="21" spans="1:28">
      <c r="A21">
        <v>5.2789999999999999</v>
      </c>
      <c r="B21">
        <v>0</v>
      </c>
      <c r="C21">
        <v>5.2789999999999999</v>
      </c>
      <c r="D21">
        <v>0</v>
      </c>
      <c r="E21">
        <v>5.2789999999999999</v>
      </c>
      <c r="F21">
        <v>0</v>
      </c>
      <c r="G21">
        <v>5.2789999999999999</v>
      </c>
      <c r="H21">
        <v>0</v>
      </c>
      <c r="I21">
        <v>5.2789999999999999</v>
      </c>
      <c r="J21">
        <v>0</v>
      </c>
      <c r="K21">
        <v>5.2789999999999999</v>
      </c>
      <c r="L21">
        <v>0</v>
      </c>
      <c r="M21">
        <v>5.2789999999999999</v>
      </c>
      <c r="N21">
        <v>0</v>
      </c>
      <c r="O21">
        <v>5.2789999999999999</v>
      </c>
      <c r="P21">
        <v>0</v>
      </c>
      <c r="Q21">
        <v>5.2789999999999999</v>
      </c>
      <c r="R21">
        <v>0</v>
      </c>
      <c r="S21">
        <v>5.2789999999999999</v>
      </c>
      <c r="T21">
        <v>0</v>
      </c>
      <c r="U21">
        <v>5.2789999999999999</v>
      </c>
      <c r="V21">
        <v>0</v>
      </c>
      <c r="Y21">
        <v>5.2789999999999999</v>
      </c>
      <c r="Z21">
        <f t="shared" si="0"/>
        <v>0</v>
      </c>
      <c r="AA21">
        <f t="shared" si="1"/>
        <v>0</v>
      </c>
      <c r="AB21">
        <f t="shared" si="2"/>
        <v>0</v>
      </c>
    </row>
    <row r="22" spans="1:28">
      <c r="A22">
        <v>6.1390000000000002</v>
      </c>
      <c r="B22">
        <v>0</v>
      </c>
      <c r="C22">
        <v>6.1390000000000002</v>
      </c>
      <c r="D22">
        <v>0</v>
      </c>
      <c r="E22">
        <v>6.1390000000000002</v>
      </c>
      <c r="F22">
        <v>0</v>
      </c>
      <c r="G22">
        <v>6.1390000000000002</v>
      </c>
      <c r="H22">
        <v>0</v>
      </c>
      <c r="I22">
        <v>6.1390000000000002</v>
      </c>
      <c r="J22">
        <v>0</v>
      </c>
      <c r="K22">
        <v>6.1390000000000002</v>
      </c>
      <c r="L22">
        <v>0</v>
      </c>
      <c r="M22">
        <v>6.1390000000000002</v>
      </c>
      <c r="N22">
        <v>0</v>
      </c>
      <c r="O22">
        <v>6.1390000000000002</v>
      </c>
      <c r="P22">
        <v>0</v>
      </c>
      <c r="Q22">
        <v>6.1390000000000002</v>
      </c>
      <c r="R22">
        <v>0</v>
      </c>
      <c r="S22">
        <v>6.1390000000000002</v>
      </c>
      <c r="T22">
        <v>0</v>
      </c>
      <c r="U22">
        <v>6.1390000000000002</v>
      </c>
      <c r="V22">
        <v>0</v>
      </c>
      <c r="Y22">
        <v>6.1390000000000002</v>
      </c>
      <c r="Z22">
        <f t="shared" si="0"/>
        <v>0</v>
      </c>
      <c r="AA22">
        <f t="shared" si="1"/>
        <v>0</v>
      </c>
      <c r="AB22">
        <f t="shared" si="2"/>
        <v>0</v>
      </c>
    </row>
    <row r="23" spans="1:28">
      <c r="A23">
        <v>7.1390000000000002</v>
      </c>
      <c r="B23">
        <v>0</v>
      </c>
      <c r="C23">
        <v>7.1390000000000002</v>
      </c>
      <c r="D23">
        <v>0</v>
      </c>
      <c r="E23">
        <v>7.1390000000000002</v>
      </c>
      <c r="F23">
        <v>0</v>
      </c>
      <c r="G23">
        <v>7.1390000000000002</v>
      </c>
      <c r="H23">
        <v>0</v>
      </c>
      <c r="I23">
        <v>7.1390000000000002</v>
      </c>
      <c r="J23">
        <v>0</v>
      </c>
      <c r="K23">
        <v>7.1390000000000002</v>
      </c>
      <c r="L23">
        <v>0</v>
      </c>
      <c r="M23">
        <v>7.1390000000000002</v>
      </c>
      <c r="N23">
        <v>0</v>
      </c>
      <c r="O23">
        <v>7.1390000000000002</v>
      </c>
      <c r="P23">
        <v>0</v>
      </c>
      <c r="Q23">
        <v>7.1390000000000002</v>
      </c>
      <c r="R23">
        <v>0</v>
      </c>
      <c r="S23">
        <v>7.1390000000000002</v>
      </c>
      <c r="T23">
        <v>0</v>
      </c>
      <c r="U23">
        <v>7.1390000000000002</v>
      </c>
      <c r="V23">
        <v>0</v>
      </c>
      <c r="Y23">
        <v>7.1390000000000002</v>
      </c>
      <c r="Z23">
        <f t="shared" si="0"/>
        <v>0</v>
      </c>
      <c r="AA23">
        <f t="shared" si="1"/>
        <v>0</v>
      </c>
      <c r="AB23">
        <f t="shared" si="2"/>
        <v>0</v>
      </c>
    </row>
    <row r="24" spans="1:28">
      <c r="A24">
        <v>8.3019999999999996</v>
      </c>
      <c r="B24">
        <v>0</v>
      </c>
      <c r="C24">
        <v>8.3019999999999996</v>
      </c>
      <c r="D24">
        <v>0</v>
      </c>
      <c r="E24">
        <v>8.3019999999999996</v>
      </c>
      <c r="F24">
        <v>0</v>
      </c>
      <c r="G24">
        <v>8.3019999999999996</v>
      </c>
      <c r="H24">
        <v>0</v>
      </c>
      <c r="I24">
        <v>8.3019999999999996</v>
      </c>
      <c r="J24">
        <v>0</v>
      </c>
      <c r="K24">
        <v>8.3019999999999996</v>
      </c>
      <c r="L24">
        <v>0</v>
      </c>
      <c r="M24">
        <v>8.3019999999999996</v>
      </c>
      <c r="N24">
        <v>0</v>
      </c>
      <c r="O24">
        <v>8.3019999999999996</v>
      </c>
      <c r="P24">
        <v>0</v>
      </c>
      <c r="Q24">
        <v>8.3019999999999996</v>
      </c>
      <c r="R24">
        <v>0</v>
      </c>
      <c r="S24">
        <v>8.3019999999999996</v>
      </c>
      <c r="T24">
        <v>0</v>
      </c>
      <c r="U24">
        <v>8.3019999999999996</v>
      </c>
      <c r="V24">
        <v>0</v>
      </c>
      <c r="Y24">
        <v>8.3019999999999996</v>
      </c>
      <c r="Z24">
        <f t="shared" si="0"/>
        <v>0</v>
      </c>
      <c r="AA24">
        <f t="shared" si="1"/>
        <v>0</v>
      </c>
      <c r="AB24">
        <f t="shared" si="2"/>
        <v>0</v>
      </c>
    </row>
    <row r="25" spans="1:28">
      <c r="A25">
        <v>9.6549999999999994</v>
      </c>
      <c r="B25">
        <v>0</v>
      </c>
      <c r="C25">
        <v>9.6549999999999994</v>
      </c>
      <c r="D25">
        <v>0</v>
      </c>
      <c r="E25">
        <v>9.6549999999999994</v>
      </c>
      <c r="F25">
        <v>0</v>
      </c>
      <c r="G25">
        <v>9.6549999999999994</v>
      </c>
      <c r="H25">
        <v>0</v>
      </c>
      <c r="I25">
        <v>9.6549999999999994</v>
      </c>
      <c r="J25">
        <v>0</v>
      </c>
      <c r="K25">
        <v>9.6549999999999994</v>
      </c>
      <c r="L25">
        <v>0</v>
      </c>
      <c r="M25">
        <v>9.6549999999999994</v>
      </c>
      <c r="N25">
        <v>0</v>
      </c>
      <c r="O25">
        <v>9.6549999999999994</v>
      </c>
      <c r="P25">
        <v>0</v>
      </c>
      <c r="Q25">
        <v>9.6549999999999994</v>
      </c>
      <c r="R25">
        <v>0</v>
      </c>
      <c r="S25">
        <v>9.6549999999999994</v>
      </c>
      <c r="T25">
        <v>0</v>
      </c>
      <c r="U25">
        <v>9.6549999999999994</v>
      </c>
      <c r="V25">
        <v>0</v>
      </c>
      <c r="Y25">
        <v>9.6549999999999994</v>
      </c>
      <c r="Z25">
        <f t="shared" si="0"/>
        <v>0</v>
      </c>
      <c r="AA25">
        <f t="shared" si="1"/>
        <v>0</v>
      </c>
      <c r="AB25">
        <f t="shared" si="2"/>
        <v>0</v>
      </c>
    </row>
    <row r="26" spans="1:28">
      <c r="A26">
        <v>11.23</v>
      </c>
      <c r="B26">
        <v>0</v>
      </c>
      <c r="C26">
        <v>11.23</v>
      </c>
      <c r="D26">
        <v>0</v>
      </c>
      <c r="E26">
        <v>11.23</v>
      </c>
      <c r="F26">
        <v>0</v>
      </c>
      <c r="G26">
        <v>11.23</v>
      </c>
      <c r="H26">
        <v>0</v>
      </c>
      <c r="I26">
        <v>11.23</v>
      </c>
      <c r="J26">
        <v>0</v>
      </c>
      <c r="K26">
        <v>11.23</v>
      </c>
      <c r="L26">
        <v>0</v>
      </c>
      <c r="M26">
        <v>11.23</v>
      </c>
      <c r="N26">
        <v>0</v>
      </c>
      <c r="O26">
        <v>11.23</v>
      </c>
      <c r="P26">
        <v>0</v>
      </c>
      <c r="Q26">
        <v>11.23</v>
      </c>
      <c r="R26">
        <v>0</v>
      </c>
      <c r="S26">
        <v>11.23</v>
      </c>
      <c r="T26">
        <v>0</v>
      </c>
      <c r="U26">
        <v>11.23</v>
      </c>
      <c r="V26">
        <v>0</v>
      </c>
      <c r="Y26">
        <v>11.23</v>
      </c>
      <c r="Z26">
        <f t="shared" si="0"/>
        <v>0</v>
      </c>
      <c r="AA26">
        <f t="shared" si="1"/>
        <v>0</v>
      </c>
      <c r="AB26">
        <f t="shared" si="2"/>
        <v>0</v>
      </c>
    </row>
    <row r="27" spans="1:28">
      <c r="A27">
        <v>13.06</v>
      </c>
      <c r="B27">
        <v>0</v>
      </c>
      <c r="C27">
        <v>13.06</v>
      </c>
      <c r="D27">
        <v>0</v>
      </c>
      <c r="E27">
        <v>13.06</v>
      </c>
      <c r="F27">
        <v>0</v>
      </c>
      <c r="G27">
        <v>13.06</v>
      </c>
      <c r="H27">
        <v>0</v>
      </c>
      <c r="I27">
        <v>13.06</v>
      </c>
      <c r="J27">
        <v>0</v>
      </c>
      <c r="K27">
        <v>13.06</v>
      </c>
      <c r="L27">
        <v>0</v>
      </c>
      <c r="M27">
        <v>13.06</v>
      </c>
      <c r="N27">
        <v>0</v>
      </c>
      <c r="O27">
        <v>13.06</v>
      </c>
      <c r="P27">
        <v>0</v>
      </c>
      <c r="Q27">
        <v>13.06</v>
      </c>
      <c r="R27">
        <v>0</v>
      </c>
      <c r="S27">
        <v>13.06</v>
      </c>
      <c r="T27">
        <v>0</v>
      </c>
      <c r="U27">
        <v>13.06</v>
      </c>
      <c r="V27">
        <v>0</v>
      </c>
      <c r="Y27">
        <v>13.06</v>
      </c>
      <c r="Z27">
        <f t="shared" si="0"/>
        <v>0</v>
      </c>
      <c r="AA27">
        <f t="shared" si="1"/>
        <v>0</v>
      </c>
      <c r="AB27">
        <f t="shared" si="2"/>
        <v>0</v>
      </c>
    </row>
    <row r="28" spans="1:28">
      <c r="A28">
        <v>15.18</v>
      </c>
      <c r="B28">
        <v>0</v>
      </c>
      <c r="C28">
        <v>15.18</v>
      </c>
      <c r="D28">
        <v>0</v>
      </c>
      <c r="E28">
        <v>15.18</v>
      </c>
      <c r="F28">
        <v>0</v>
      </c>
      <c r="G28">
        <v>15.18</v>
      </c>
      <c r="H28">
        <v>0</v>
      </c>
      <c r="I28">
        <v>15.18</v>
      </c>
      <c r="J28">
        <v>0</v>
      </c>
      <c r="K28">
        <v>15.18</v>
      </c>
      <c r="L28">
        <v>0</v>
      </c>
      <c r="M28">
        <v>15.18</v>
      </c>
      <c r="N28">
        <v>0</v>
      </c>
      <c r="O28">
        <v>15.18</v>
      </c>
      <c r="P28">
        <v>0</v>
      </c>
      <c r="Q28">
        <v>15.18</v>
      </c>
      <c r="R28">
        <v>0</v>
      </c>
      <c r="S28">
        <v>15.18</v>
      </c>
      <c r="T28">
        <v>0</v>
      </c>
      <c r="U28">
        <v>15.18</v>
      </c>
      <c r="V28">
        <v>0</v>
      </c>
      <c r="Y28">
        <v>15.18</v>
      </c>
      <c r="Z28">
        <f t="shared" si="0"/>
        <v>0</v>
      </c>
      <c r="AA28">
        <f t="shared" si="1"/>
        <v>0</v>
      </c>
      <c r="AB28">
        <f t="shared" si="2"/>
        <v>0</v>
      </c>
    </row>
    <row r="29" spans="1:28">
      <c r="A29">
        <v>17.66</v>
      </c>
      <c r="B29">
        <v>0</v>
      </c>
      <c r="C29">
        <v>17.66</v>
      </c>
      <c r="D29">
        <v>0</v>
      </c>
      <c r="E29">
        <v>17.66</v>
      </c>
      <c r="F29">
        <v>0</v>
      </c>
      <c r="G29">
        <v>17.66</v>
      </c>
      <c r="H29">
        <v>0</v>
      </c>
      <c r="I29">
        <v>17.66</v>
      </c>
      <c r="J29">
        <v>0</v>
      </c>
      <c r="K29">
        <v>17.66</v>
      </c>
      <c r="L29">
        <v>0</v>
      </c>
      <c r="M29">
        <v>17.66</v>
      </c>
      <c r="N29">
        <v>0</v>
      </c>
      <c r="O29">
        <v>17.66</v>
      </c>
      <c r="P29">
        <v>0</v>
      </c>
      <c r="Q29">
        <v>17.66</v>
      </c>
      <c r="R29">
        <v>0</v>
      </c>
      <c r="S29">
        <v>17.66</v>
      </c>
      <c r="T29">
        <v>0</v>
      </c>
      <c r="U29">
        <v>17.66</v>
      </c>
      <c r="V29">
        <v>0</v>
      </c>
      <c r="Y29">
        <v>17.66</v>
      </c>
      <c r="Z29">
        <f t="shared" si="0"/>
        <v>0</v>
      </c>
      <c r="AA29">
        <f t="shared" si="1"/>
        <v>0</v>
      </c>
      <c r="AB29">
        <f t="shared" si="2"/>
        <v>0</v>
      </c>
    </row>
    <row r="30" spans="1:28">
      <c r="A30">
        <v>20.53</v>
      </c>
      <c r="B30">
        <v>0</v>
      </c>
      <c r="C30">
        <v>20.53</v>
      </c>
      <c r="D30">
        <v>0</v>
      </c>
      <c r="E30">
        <v>20.53</v>
      </c>
      <c r="F30">
        <v>0</v>
      </c>
      <c r="G30">
        <v>20.53</v>
      </c>
      <c r="H30">
        <v>0</v>
      </c>
      <c r="I30">
        <v>20.53</v>
      </c>
      <c r="J30">
        <v>0</v>
      </c>
      <c r="K30">
        <v>20.53</v>
      </c>
      <c r="L30">
        <v>0</v>
      </c>
      <c r="M30">
        <v>20.53</v>
      </c>
      <c r="N30">
        <v>0</v>
      </c>
      <c r="O30">
        <v>20.53</v>
      </c>
      <c r="P30">
        <v>0</v>
      </c>
      <c r="Q30">
        <v>20.53</v>
      </c>
      <c r="R30">
        <v>0</v>
      </c>
      <c r="S30">
        <v>20.53</v>
      </c>
      <c r="T30">
        <v>0</v>
      </c>
      <c r="U30">
        <v>20.53</v>
      </c>
      <c r="V30">
        <v>0</v>
      </c>
      <c r="Y30">
        <v>20.53</v>
      </c>
      <c r="Z30">
        <f t="shared" si="0"/>
        <v>0</v>
      </c>
      <c r="AA30">
        <f t="shared" si="1"/>
        <v>0</v>
      </c>
      <c r="AB30">
        <f t="shared" si="2"/>
        <v>0</v>
      </c>
    </row>
    <row r="31" spans="1:28">
      <c r="A31">
        <v>23.88</v>
      </c>
      <c r="B31">
        <v>0</v>
      </c>
      <c r="C31">
        <v>23.88</v>
      </c>
      <c r="D31">
        <v>0</v>
      </c>
      <c r="E31">
        <v>23.88</v>
      </c>
      <c r="F31">
        <v>0</v>
      </c>
      <c r="G31">
        <v>23.88</v>
      </c>
      <c r="H31">
        <v>0</v>
      </c>
      <c r="I31">
        <v>23.88</v>
      </c>
      <c r="J31">
        <v>0</v>
      </c>
      <c r="K31">
        <v>23.88</v>
      </c>
      <c r="L31">
        <v>0</v>
      </c>
      <c r="M31">
        <v>23.88</v>
      </c>
      <c r="N31">
        <v>0</v>
      </c>
      <c r="O31">
        <v>23.88</v>
      </c>
      <c r="P31">
        <v>0</v>
      </c>
      <c r="Q31">
        <v>23.88</v>
      </c>
      <c r="R31">
        <v>0</v>
      </c>
      <c r="S31">
        <v>23.88</v>
      </c>
      <c r="T31">
        <v>0</v>
      </c>
      <c r="U31">
        <v>23.88</v>
      </c>
      <c r="V31">
        <v>0</v>
      </c>
      <c r="Y31">
        <v>23.88</v>
      </c>
      <c r="Z31">
        <f t="shared" si="0"/>
        <v>0</v>
      </c>
      <c r="AA31">
        <f t="shared" si="1"/>
        <v>0</v>
      </c>
      <c r="AB31">
        <f t="shared" si="2"/>
        <v>0</v>
      </c>
    </row>
    <row r="32" spans="1:28">
      <c r="A32">
        <v>27.77</v>
      </c>
      <c r="B32">
        <v>0</v>
      </c>
      <c r="C32">
        <v>27.77</v>
      </c>
      <c r="D32">
        <v>0</v>
      </c>
      <c r="E32">
        <v>27.77</v>
      </c>
      <c r="F32">
        <v>0</v>
      </c>
      <c r="G32">
        <v>27.77</v>
      </c>
      <c r="H32">
        <v>0</v>
      </c>
      <c r="I32">
        <v>27.77</v>
      </c>
      <c r="J32">
        <v>0</v>
      </c>
      <c r="K32">
        <v>27.77</v>
      </c>
      <c r="L32">
        <v>0</v>
      </c>
      <c r="M32">
        <v>27.77</v>
      </c>
      <c r="N32">
        <v>0</v>
      </c>
      <c r="O32">
        <v>27.77</v>
      </c>
      <c r="P32">
        <v>0</v>
      </c>
      <c r="Q32">
        <v>27.77</v>
      </c>
      <c r="R32">
        <v>0</v>
      </c>
      <c r="S32">
        <v>27.77</v>
      </c>
      <c r="T32">
        <v>0</v>
      </c>
      <c r="U32">
        <v>27.77</v>
      </c>
      <c r="V32">
        <v>0</v>
      </c>
      <c r="Y32">
        <v>27.77</v>
      </c>
      <c r="Z32">
        <f t="shared" si="0"/>
        <v>0</v>
      </c>
      <c r="AA32">
        <f t="shared" si="1"/>
        <v>0</v>
      </c>
      <c r="AB32">
        <f t="shared" si="2"/>
        <v>0</v>
      </c>
    </row>
    <row r="33" spans="1:28">
      <c r="A33">
        <v>32.299999999999997</v>
      </c>
      <c r="B33">
        <v>0</v>
      </c>
      <c r="C33">
        <v>32.299999999999997</v>
      </c>
      <c r="D33">
        <v>0</v>
      </c>
      <c r="E33">
        <v>32.299999999999997</v>
      </c>
      <c r="F33">
        <v>0</v>
      </c>
      <c r="G33">
        <v>32.299999999999997</v>
      </c>
      <c r="H33">
        <v>0</v>
      </c>
      <c r="I33">
        <v>32.299999999999997</v>
      </c>
      <c r="J33">
        <v>0</v>
      </c>
      <c r="K33">
        <v>32.299999999999997</v>
      </c>
      <c r="L33">
        <v>0</v>
      </c>
      <c r="M33">
        <v>32.299999999999997</v>
      </c>
      <c r="N33">
        <v>0</v>
      </c>
      <c r="O33">
        <v>32.299999999999997</v>
      </c>
      <c r="P33">
        <v>0</v>
      </c>
      <c r="Q33">
        <v>32.299999999999997</v>
      </c>
      <c r="R33">
        <v>0</v>
      </c>
      <c r="S33">
        <v>32.299999999999997</v>
      </c>
      <c r="T33">
        <v>0</v>
      </c>
      <c r="U33">
        <v>32.299999999999997</v>
      </c>
      <c r="V33">
        <v>0</v>
      </c>
      <c r="Y33">
        <v>32.299999999999997</v>
      </c>
      <c r="Z33">
        <f t="shared" si="0"/>
        <v>0</v>
      </c>
      <c r="AA33">
        <f t="shared" si="1"/>
        <v>0</v>
      </c>
      <c r="AB33">
        <f t="shared" si="2"/>
        <v>0</v>
      </c>
    </row>
    <row r="34" spans="1:28">
      <c r="A34">
        <v>37.56</v>
      </c>
      <c r="B34">
        <v>0</v>
      </c>
      <c r="C34">
        <v>37.56</v>
      </c>
      <c r="D34">
        <v>0</v>
      </c>
      <c r="E34">
        <v>37.56</v>
      </c>
      <c r="F34">
        <v>0</v>
      </c>
      <c r="G34">
        <v>37.56</v>
      </c>
      <c r="H34">
        <v>0</v>
      </c>
      <c r="I34">
        <v>37.56</v>
      </c>
      <c r="J34">
        <v>0</v>
      </c>
      <c r="K34">
        <v>37.56</v>
      </c>
      <c r="L34">
        <v>0</v>
      </c>
      <c r="M34">
        <v>37.56</v>
      </c>
      <c r="N34">
        <v>0</v>
      </c>
      <c r="O34">
        <v>37.56</v>
      </c>
      <c r="P34">
        <v>0</v>
      </c>
      <c r="Q34">
        <v>37.56</v>
      </c>
      <c r="R34">
        <v>0</v>
      </c>
      <c r="S34">
        <v>37.56</v>
      </c>
      <c r="T34">
        <v>0</v>
      </c>
      <c r="U34">
        <v>37.56</v>
      </c>
      <c r="V34">
        <v>0</v>
      </c>
      <c r="Y34">
        <v>37.56</v>
      </c>
      <c r="Z34">
        <f t="shared" si="0"/>
        <v>0</v>
      </c>
      <c r="AA34">
        <f t="shared" si="1"/>
        <v>0</v>
      </c>
      <c r="AB34">
        <f t="shared" si="2"/>
        <v>0</v>
      </c>
    </row>
    <row r="35" spans="1:28">
      <c r="A35">
        <v>43.68</v>
      </c>
      <c r="B35">
        <v>0</v>
      </c>
      <c r="C35">
        <v>43.68</v>
      </c>
      <c r="D35">
        <v>0</v>
      </c>
      <c r="E35">
        <v>43.68</v>
      </c>
      <c r="F35">
        <v>0</v>
      </c>
      <c r="G35">
        <v>43.68</v>
      </c>
      <c r="H35">
        <v>0</v>
      </c>
      <c r="I35">
        <v>43.68</v>
      </c>
      <c r="J35">
        <v>0</v>
      </c>
      <c r="K35">
        <v>43.68</v>
      </c>
      <c r="L35">
        <v>0</v>
      </c>
      <c r="M35">
        <v>43.68</v>
      </c>
      <c r="N35">
        <v>0</v>
      </c>
      <c r="O35">
        <v>43.68</v>
      </c>
      <c r="P35">
        <v>0</v>
      </c>
      <c r="Q35">
        <v>43.68</v>
      </c>
      <c r="R35">
        <v>0</v>
      </c>
      <c r="S35">
        <v>43.68</v>
      </c>
      <c r="T35">
        <v>0</v>
      </c>
      <c r="U35">
        <v>43.68</v>
      </c>
      <c r="V35">
        <v>0</v>
      </c>
      <c r="Y35">
        <v>43.68</v>
      </c>
      <c r="Z35">
        <f t="shared" si="0"/>
        <v>0</v>
      </c>
      <c r="AA35">
        <f t="shared" si="1"/>
        <v>0</v>
      </c>
      <c r="AB35">
        <f t="shared" si="2"/>
        <v>0</v>
      </c>
    </row>
    <row r="36" spans="1:28">
      <c r="A36">
        <v>50.79</v>
      </c>
      <c r="B36">
        <v>0</v>
      </c>
      <c r="C36">
        <v>50.79</v>
      </c>
      <c r="D36">
        <v>0</v>
      </c>
      <c r="E36">
        <v>50.79</v>
      </c>
      <c r="F36">
        <v>0</v>
      </c>
      <c r="G36">
        <v>50.79</v>
      </c>
      <c r="H36">
        <v>0</v>
      </c>
      <c r="I36">
        <v>50.79</v>
      </c>
      <c r="J36">
        <v>0</v>
      </c>
      <c r="K36">
        <v>50.79</v>
      </c>
      <c r="L36">
        <v>0</v>
      </c>
      <c r="M36">
        <v>50.79</v>
      </c>
      <c r="N36">
        <v>0</v>
      </c>
      <c r="O36">
        <v>50.79</v>
      </c>
      <c r="P36">
        <v>0</v>
      </c>
      <c r="Q36">
        <v>50.79</v>
      </c>
      <c r="R36">
        <v>0</v>
      </c>
      <c r="S36">
        <v>50.79</v>
      </c>
      <c r="T36">
        <v>0</v>
      </c>
      <c r="U36">
        <v>50.79</v>
      </c>
      <c r="V36">
        <v>0</v>
      </c>
      <c r="Y36">
        <v>50.79</v>
      </c>
      <c r="Z36">
        <f t="shared" si="0"/>
        <v>0</v>
      </c>
      <c r="AA36">
        <f t="shared" si="1"/>
        <v>0</v>
      </c>
      <c r="AB36">
        <f t="shared" si="2"/>
        <v>0</v>
      </c>
    </row>
    <row r="37" spans="1:28">
      <c r="A37">
        <v>59.07</v>
      </c>
      <c r="B37">
        <v>0</v>
      </c>
      <c r="C37">
        <v>59.07</v>
      </c>
      <c r="D37">
        <v>0</v>
      </c>
      <c r="E37">
        <v>59.07</v>
      </c>
      <c r="F37">
        <v>0</v>
      </c>
      <c r="G37">
        <v>59.07</v>
      </c>
      <c r="H37">
        <v>0</v>
      </c>
      <c r="I37">
        <v>59.07</v>
      </c>
      <c r="J37">
        <v>0</v>
      </c>
      <c r="K37">
        <v>59.07</v>
      </c>
      <c r="L37">
        <v>0</v>
      </c>
      <c r="M37">
        <v>59.07</v>
      </c>
      <c r="N37">
        <v>0</v>
      </c>
      <c r="O37">
        <v>59.07</v>
      </c>
      <c r="P37">
        <v>0</v>
      </c>
      <c r="Q37">
        <v>59.07</v>
      </c>
      <c r="R37">
        <v>0</v>
      </c>
      <c r="S37">
        <v>59.07</v>
      </c>
      <c r="T37">
        <v>0</v>
      </c>
      <c r="U37">
        <v>59.07</v>
      </c>
      <c r="V37">
        <v>0</v>
      </c>
      <c r="Y37">
        <v>59.07</v>
      </c>
      <c r="Z37">
        <f t="shared" si="0"/>
        <v>0</v>
      </c>
      <c r="AA37">
        <f t="shared" si="1"/>
        <v>0</v>
      </c>
      <c r="AB37">
        <f t="shared" si="2"/>
        <v>0</v>
      </c>
    </row>
    <row r="38" spans="1:28">
      <c r="A38">
        <v>68.69</v>
      </c>
      <c r="B38">
        <v>0</v>
      </c>
      <c r="C38">
        <v>68.69</v>
      </c>
      <c r="D38">
        <v>0</v>
      </c>
      <c r="E38">
        <v>68.69</v>
      </c>
      <c r="F38">
        <v>0</v>
      </c>
      <c r="G38">
        <v>68.69</v>
      </c>
      <c r="H38">
        <v>0</v>
      </c>
      <c r="I38">
        <v>68.69</v>
      </c>
      <c r="J38">
        <v>0</v>
      </c>
      <c r="K38">
        <v>68.69</v>
      </c>
      <c r="L38">
        <v>0</v>
      </c>
      <c r="M38">
        <v>68.69</v>
      </c>
      <c r="N38">
        <v>0</v>
      </c>
      <c r="O38">
        <v>68.69</v>
      </c>
      <c r="P38">
        <v>0</v>
      </c>
      <c r="Q38">
        <v>68.69</v>
      </c>
      <c r="R38">
        <v>0</v>
      </c>
      <c r="S38">
        <v>68.69</v>
      </c>
      <c r="T38">
        <v>0</v>
      </c>
      <c r="U38">
        <v>68.69</v>
      </c>
      <c r="V38">
        <v>0</v>
      </c>
      <c r="Y38">
        <v>68.69</v>
      </c>
      <c r="Z38">
        <f t="shared" si="0"/>
        <v>0</v>
      </c>
      <c r="AA38">
        <f t="shared" si="1"/>
        <v>0</v>
      </c>
      <c r="AB38">
        <f t="shared" si="2"/>
        <v>0</v>
      </c>
    </row>
    <row r="39" spans="1:28">
      <c r="A39">
        <v>79.88</v>
      </c>
      <c r="B39">
        <v>0</v>
      </c>
      <c r="C39">
        <v>79.88</v>
      </c>
      <c r="D39">
        <v>0</v>
      </c>
      <c r="E39">
        <v>79.88</v>
      </c>
      <c r="F39">
        <v>0</v>
      </c>
      <c r="G39">
        <v>79.88</v>
      </c>
      <c r="H39">
        <v>0</v>
      </c>
      <c r="I39">
        <v>79.88</v>
      </c>
      <c r="J39">
        <v>0</v>
      </c>
      <c r="K39">
        <v>79.88</v>
      </c>
      <c r="L39">
        <v>0</v>
      </c>
      <c r="M39">
        <v>79.88</v>
      </c>
      <c r="N39">
        <v>0</v>
      </c>
      <c r="O39">
        <v>79.88</v>
      </c>
      <c r="P39">
        <v>0</v>
      </c>
      <c r="Q39">
        <v>79.88</v>
      </c>
      <c r="R39">
        <v>0</v>
      </c>
      <c r="S39">
        <v>79.88</v>
      </c>
      <c r="T39">
        <v>0</v>
      </c>
      <c r="U39">
        <v>79.88</v>
      </c>
      <c r="V39">
        <v>0</v>
      </c>
      <c r="Y39">
        <v>79.88</v>
      </c>
      <c r="Z39">
        <f t="shared" si="0"/>
        <v>0</v>
      </c>
      <c r="AA39">
        <f t="shared" si="1"/>
        <v>0</v>
      </c>
      <c r="AB39">
        <f t="shared" si="2"/>
        <v>0</v>
      </c>
    </row>
    <row r="40" spans="1:28">
      <c r="A40">
        <v>92.89</v>
      </c>
      <c r="B40">
        <v>0</v>
      </c>
      <c r="C40">
        <v>92.89</v>
      </c>
      <c r="D40">
        <v>0</v>
      </c>
      <c r="E40">
        <v>92.89</v>
      </c>
      <c r="F40">
        <v>0</v>
      </c>
      <c r="G40">
        <v>92.89</v>
      </c>
      <c r="H40">
        <v>0</v>
      </c>
      <c r="I40">
        <v>92.89</v>
      </c>
      <c r="J40">
        <v>0</v>
      </c>
      <c r="K40">
        <v>92.89</v>
      </c>
      <c r="L40">
        <v>0</v>
      </c>
      <c r="M40">
        <v>92.89</v>
      </c>
      <c r="N40">
        <v>0</v>
      </c>
      <c r="O40">
        <v>92.89</v>
      </c>
      <c r="P40">
        <v>0</v>
      </c>
      <c r="Q40">
        <v>92.89</v>
      </c>
      <c r="R40">
        <v>0</v>
      </c>
      <c r="S40">
        <v>92.89</v>
      </c>
      <c r="T40">
        <v>0</v>
      </c>
      <c r="U40">
        <v>92.89</v>
      </c>
      <c r="V40">
        <v>0</v>
      </c>
      <c r="Y40">
        <v>92.89</v>
      </c>
      <c r="Z40">
        <f t="shared" si="0"/>
        <v>0</v>
      </c>
      <c r="AA40">
        <f t="shared" si="1"/>
        <v>0</v>
      </c>
      <c r="AB40">
        <f t="shared" si="2"/>
        <v>0</v>
      </c>
    </row>
    <row r="41" spans="1:28">
      <c r="A41">
        <v>108</v>
      </c>
      <c r="B41">
        <v>0</v>
      </c>
      <c r="C41">
        <v>108</v>
      </c>
      <c r="D41">
        <v>0</v>
      </c>
      <c r="E41">
        <v>108</v>
      </c>
      <c r="F41">
        <v>0</v>
      </c>
      <c r="G41">
        <v>108</v>
      </c>
      <c r="H41">
        <v>0</v>
      </c>
      <c r="I41">
        <v>108</v>
      </c>
      <c r="J41">
        <v>0</v>
      </c>
      <c r="K41">
        <v>108</v>
      </c>
      <c r="L41">
        <v>0</v>
      </c>
      <c r="M41">
        <v>108</v>
      </c>
      <c r="N41">
        <v>0</v>
      </c>
      <c r="O41">
        <v>108</v>
      </c>
      <c r="P41">
        <v>0</v>
      </c>
      <c r="Q41">
        <v>108</v>
      </c>
      <c r="R41">
        <v>0</v>
      </c>
      <c r="S41">
        <v>108</v>
      </c>
      <c r="T41">
        <v>0</v>
      </c>
      <c r="U41">
        <v>108</v>
      </c>
      <c r="V41">
        <v>0</v>
      </c>
      <c r="Y41">
        <v>108</v>
      </c>
      <c r="Z41">
        <f t="shared" si="0"/>
        <v>0</v>
      </c>
      <c r="AA41">
        <f t="shared" si="1"/>
        <v>0</v>
      </c>
      <c r="AB41">
        <f t="shared" si="2"/>
        <v>0</v>
      </c>
    </row>
    <row r="42" spans="1:28">
      <c r="A42">
        <v>125.6</v>
      </c>
      <c r="B42">
        <v>0.46970000000000001</v>
      </c>
      <c r="C42">
        <v>125.6</v>
      </c>
      <c r="D42">
        <v>0</v>
      </c>
      <c r="E42">
        <v>125.6</v>
      </c>
      <c r="F42">
        <v>0.46970000000000001</v>
      </c>
      <c r="G42">
        <v>125.6</v>
      </c>
      <c r="H42">
        <v>0</v>
      </c>
      <c r="I42">
        <v>125.6</v>
      </c>
      <c r="J42">
        <v>9.4890000000000002E-2</v>
      </c>
      <c r="K42">
        <v>125.6</v>
      </c>
      <c r="L42">
        <v>0</v>
      </c>
      <c r="M42">
        <v>125.6</v>
      </c>
      <c r="N42">
        <v>2.359</v>
      </c>
      <c r="O42">
        <v>125.6</v>
      </c>
      <c r="P42">
        <v>0</v>
      </c>
      <c r="Q42">
        <v>125.6</v>
      </c>
      <c r="R42">
        <v>0</v>
      </c>
      <c r="S42">
        <v>125.6</v>
      </c>
      <c r="T42">
        <v>0</v>
      </c>
      <c r="U42">
        <v>125.6</v>
      </c>
      <c r="V42">
        <v>0</v>
      </c>
      <c r="Y42">
        <v>125.6</v>
      </c>
      <c r="Z42">
        <f t="shared" si="0"/>
        <v>0.31313333333333332</v>
      </c>
      <c r="AA42">
        <f t="shared" si="1"/>
        <v>3.1629999999999998E-2</v>
      </c>
      <c r="AB42">
        <f t="shared" si="2"/>
        <v>0.78633333333333333</v>
      </c>
    </row>
    <row r="43" spans="1:28">
      <c r="A43">
        <v>146.1</v>
      </c>
      <c r="B43">
        <v>6.6340000000000003</v>
      </c>
      <c r="C43">
        <v>146.1</v>
      </c>
      <c r="D43">
        <v>6.44</v>
      </c>
      <c r="E43">
        <v>146.1</v>
      </c>
      <c r="F43">
        <v>6.6340000000000003</v>
      </c>
      <c r="G43">
        <v>146.1</v>
      </c>
      <c r="H43">
        <v>6.44</v>
      </c>
      <c r="I43">
        <v>146.1</v>
      </c>
      <c r="J43">
        <v>6.4790000000000001</v>
      </c>
      <c r="K43">
        <v>146.1</v>
      </c>
      <c r="L43">
        <v>5.5019999999999998</v>
      </c>
      <c r="M43">
        <v>146.1</v>
      </c>
      <c r="N43">
        <v>13.42</v>
      </c>
      <c r="O43">
        <v>146.1</v>
      </c>
      <c r="P43">
        <v>0</v>
      </c>
      <c r="Q43">
        <v>146.1</v>
      </c>
      <c r="R43">
        <v>0</v>
      </c>
      <c r="S43">
        <v>146.1</v>
      </c>
      <c r="T43">
        <v>0</v>
      </c>
      <c r="U43">
        <v>146.1</v>
      </c>
      <c r="V43">
        <v>0</v>
      </c>
      <c r="Y43">
        <v>146.1</v>
      </c>
      <c r="Z43">
        <f t="shared" si="0"/>
        <v>6.5693333333333337</v>
      </c>
      <c r="AA43">
        <f t="shared" si="1"/>
        <v>6.1403333333333334</v>
      </c>
      <c r="AB43">
        <f t="shared" si="2"/>
        <v>4.4733333333333336</v>
      </c>
    </row>
    <row r="44" spans="1:28">
      <c r="A44">
        <v>169.9</v>
      </c>
      <c r="B44">
        <v>15.52</v>
      </c>
      <c r="C44">
        <v>169.9</v>
      </c>
      <c r="D44">
        <v>16.079999999999998</v>
      </c>
      <c r="E44">
        <v>169.9</v>
      </c>
      <c r="F44">
        <v>15.52</v>
      </c>
      <c r="G44">
        <v>169.9</v>
      </c>
      <c r="H44">
        <v>16.079999999999998</v>
      </c>
      <c r="I44">
        <v>169.9</v>
      </c>
      <c r="J44">
        <v>15.83</v>
      </c>
      <c r="K44">
        <v>169.9</v>
      </c>
      <c r="L44">
        <v>17.28</v>
      </c>
      <c r="M44">
        <v>169.9</v>
      </c>
      <c r="N44">
        <v>25</v>
      </c>
      <c r="O44">
        <v>169.9</v>
      </c>
      <c r="P44">
        <v>3.1230000000000002</v>
      </c>
      <c r="Q44">
        <v>169.9</v>
      </c>
      <c r="R44">
        <v>0</v>
      </c>
      <c r="S44">
        <v>169.9</v>
      </c>
      <c r="T44">
        <v>0</v>
      </c>
      <c r="U44">
        <v>169.9</v>
      </c>
      <c r="V44">
        <v>0</v>
      </c>
      <c r="Y44">
        <v>169.9</v>
      </c>
      <c r="Z44">
        <f t="shared" si="0"/>
        <v>15.706666666666665</v>
      </c>
      <c r="AA44">
        <f t="shared" si="1"/>
        <v>16.396666666666665</v>
      </c>
      <c r="AB44">
        <f t="shared" si="2"/>
        <v>9.3743333333333343</v>
      </c>
    </row>
    <row r="45" spans="1:28">
      <c r="A45">
        <v>197.6</v>
      </c>
      <c r="B45">
        <v>22.15</v>
      </c>
      <c r="C45">
        <v>197.6</v>
      </c>
      <c r="D45">
        <v>23.08</v>
      </c>
      <c r="E45">
        <v>197.6</v>
      </c>
      <c r="F45">
        <v>22.15</v>
      </c>
      <c r="G45">
        <v>197.6</v>
      </c>
      <c r="H45">
        <v>23.08</v>
      </c>
      <c r="I45">
        <v>197.6</v>
      </c>
      <c r="J45">
        <v>22.69</v>
      </c>
      <c r="K45">
        <v>197.6</v>
      </c>
      <c r="L45">
        <v>26.5</v>
      </c>
      <c r="M45">
        <v>197.6</v>
      </c>
      <c r="N45">
        <v>28.43</v>
      </c>
      <c r="O45">
        <v>197.6</v>
      </c>
      <c r="P45">
        <v>34.86</v>
      </c>
      <c r="Q45">
        <v>197.6</v>
      </c>
      <c r="R45">
        <v>22.18</v>
      </c>
      <c r="S45">
        <v>197.6</v>
      </c>
      <c r="T45">
        <v>20.82</v>
      </c>
      <c r="U45">
        <v>197.6</v>
      </c>
      <c r="V45">
        <v>20.82</v>
      </c>
      <c r="Y45">
        <v>197.6</v>
      </c>
      <c r="Z45">
        <f t="shared" si="0"/>
        <v>22.459999999999997</v>
      </c>
      <c r="AA45">
        <f t="shared" si="1"/>
        <v>24.09</v>
      </c>
      <c r="AB45">
        <f t="shared" si="2"/>
        <v>28.036666666666665</v>
      </c>
    </row>
    <row r="46" spans="1:28">
      <c r="A46">
        <v>229.8</v>
      </c>
      <c r="B46">
        <v>23.19</v>
      </c>
      <c r="C46">
        <v>229.8</v>
      </c>
      <c r="D46">
        <v>23.77</v>
      </c>
      <c r="E46">
        <v>229.8</v>
      </c>
      <c r="F46">
        <v>23.19</v>
      </c>
      <c r="G46">
        <v>229.8</v>
      </c>
      <c r="H46">
        <v>23.77</v>
      </c>
      <c r="I46">
        <v>229.8</v>
      </c>
      <c r="J46">
        <v>23.55</v>
      </c>
      <c r="K46">
        <v>229.8</v>
      </c>
      <c r="L46">
        <v>26.56</v>
      </c>
      <c r="M46">
        <v>229.8</v>
      </c>
      <c r="N46">
        <v>21.44</v>
      </c>
      <c r="O46">
        <v>229.8</v>
      </c>
      <c r="P46">
        <v>43.71</v>
      </c>
      <c r="Q46">
        <v>229.8</v>
      </c>
      <c r="R46">
        <v>39.9</v>
      </c>
      <c r="S46">
        <v>229.8</v>
      </c>
      <c r="T46">
        <v>39.19</v>
      </c>
      <c r="U46">
        <v>229.8</v>
      </c>
      <c r="V46">
        <v>39.19</v>
      </c>
      <c r="Y46">
        <v>229.8</v>
      </c>
      <c r="Z46">
        <f t="shared" si="0"/>
        <v>23.383333333333336</v>
      </c>
      <c r="AA46">
        <f t="shared" si="1"/>
        <v>24.626666666666665</v>
      </c>
      <c r="AB46">
        <f t="shared" si="2"/>
        <v>34.78</v>
      </c>
    </row>
    <row r="47" spans="1:28">
      <c r="A47">
        <v>267.2</v>
      </c>
      <c r="B47">
        <v>18.39</v>
      </c>
      <c r="C47">
        <v>267.2</v>
      </c>
      <c r="D47">
        <v>18.23</v>
      </c>
      <c r="E47">
        <v>267.2</v>
      </c>
      <c r="F47">
        <v>18.39</v>
      </c>
      <c r="G47">
        <v>267.2</v>
      </c>
      <c r="H47">
        <v>18.23</v>
      </c>
      <c r="I47">
        <v>267.2</v>
      </c>
      <c r="J47">
        <v>18.350000000000001</v>
      </c>
      <c r="K47">
        <v>267.2</v>
      </c>
      <c r="L47">
        <v>17.760000000000002</v>
      </c>
      <c r="M47">
        <v>267.2</v>
      </c>
      <c r="N47">
        <v>9.1129999999999995</v>
      </c>
      <c r="O47">
        <v>267.2</v>
      </c>
      <c r="P47">
        <v>18.3</v>
      </c>
      <c r="Q47">
        <v>267.2</v>
      </c>
      <c r="R47">
        <v>30.71</v>
      </c>
      <c r="S47">
        <v>267.2</v>
      </c>
      <c r="T47">
        <v>31.56</v>
      </c>
      <c r="U47">
        <v>267.2</v>
      </c>
      <c r="V47">
        <v>31.56</v>
      </c>
      <c r="Y47">
        <v>267.2</v>
      </c>
      <c r="Z47">
        <f t="shared" si="0"/>
        <v>18.33666666666667</v>
      </c>
      <c r="AA47">
        <f t="shared" si="1"/>
        <v>18.113333333333333</v>
      </c>
      <c r="AB47">
        <f t="shared" si="2"/>
        <v>19.657666666666668</v>
      </c>
    </row>
    <row r="48" spans="1:28">
      <c r="A48">
        <v>310.7</v>
      </c>
      <c r="B48">
        <v>10.4</v>
      </c>
      <c r="C48">
        <v>310.7</v>
      </c>
      <c r="D48">
        <v>9.718</v>
      </c>
      <c r="E48">
        <v>310.7</v>
      </c>
      <c r="F48">
        <v>10.4</v>
      </c>
      <c r="G48">
        <v>310.7</v>
      </c>
      <c r="H48">
        <v>9.718</v>
      </c>
      <c r="I48">
        <v>310.7</v>
      </c>
      <c r="J48">
        <v>10.06</v>
      </c>
      <c r="K48">
        <v>310.7</v>
      </c>
      <c r="L48">
        <v>6.4020000000000001</v>
      </c>
      <c r="M48">
        <v>310.7</v>
      </c>
      <c r="N48">
        <v>0.2346</v>
      </c>
      <c r="O48">
        <v>310.7</v>
      </c>
      <c r="P48">
        <v>0</v>
      </c>
      <c r="Q48">
        <v>310.7</v>
      </c>
      <c r="R48">
        <v>7.2080000000000002</v>
      </c>
      <c r="S48">
        <v>310.7</v>
      </c>
      <c r="T48">
        <v>8.4350000000000005</v>
      </c>
      <c r="U48">
        <v>310.7</v>
      </c>
      <c r="V48">
        <v>8.4350000000000005</v>
      </c>
      <c r="Y48">
        <v>310.7</v>
      </c>
      <c r="Z48">
        <f t="shared" si="0"/>
        <v>10.172666666666666</v>
      </c>
      <c r="AA48">
        <f t="shared" si="1"/>
        <v>8.7266666666666666</v>
      </c>
      <c r="AB48">
        <f t="shared" si="2"/>
        <v>2.8898666666666668</v>
      </c>
    </row>
    <row r="49" spans="1:28">
      <c r="A49">
        <v>361.3</v>
      </c>
      <c r="B49">
        <v>3.2480000000000002</v>
      </c>
      <c r="C49">
        <v>361.3</v>
      </c>
      <c r="D49">
        <v>2.6779999999999999</v>
      </c>
      <c r="E49">
        <v>361.3</v>
      </c>
      <c r="F49">
        <v>3.2480000000000002</v>
      </c>
      <c r="G49">
        <v>361.3</v>
      </c>
      <c r="H49">
        <v>2.6779999999999999</v>
      </c>
      <c r="I49">
        <v>361.3</v>
      </c>
      <c r="J49">
        <v>2.9380000000000002</v>
      </c>
      <c r="K49">
        <v>361.3</v>
      </c>
      <c r="L49">
        <v>0</v>
      </c>
      <c r="M49">
        <v>361.3</v>
      </c>
      <c r="N49">
        <v>0</v>
      </c>
      <c r="O49">
        <v>361.3</v>
      </c>
      <c r="P49">
        <v>0</v>
      </c>
      <c r="Q49">
        <v>361.3</v>
      </c>
      <c r="R49">
        <v>0</v>
      </c>
      <c r="S49">
        <v>361.3</v>
      </c>
      <c r="T49">
        <v>0</v>
      </c>
      <c r="U49">
        <v>361.3</v>
      </c>
      <c r="V49">
        <v>0</v>
      </c>
      <c r="Y49">
        <v>361.3</v>
      </c>
      <c r="Z49">
        <f t="shared" si="0"/>
        <v>3.0579999999999998</v>
      </c>
      <c r="AA49">
        <f t="shared" si="1"/>
        <v>1.8719999999999999</v>
      </c>
      <c r="AB49">
        <f t="shared" si="2"/>
        <v>0</v>
      </c>
    </row>
    <row r="50" spans="1:28">
      <c r="A50">
        <v>420.2</v>
      </c>
      <c r="B50">
        <v>0</v>
      </c>
      <c r="C50">
        <v>420.2</v>
      </c>
      <c r="D50">
        <v>0</v>
      </c>
      <c r="E50">
        <v>420.2</v>
      </c>
      <c r="F50">
        <v>0</v>
      </c>
      <c r="G50">
        <v>420.2</v>
      </c>
      <c r="H50">
        <v>0</v>
      </c>
      <c r="I50">
        <v>420.2</v>
      </c>
      <c r="J50">
        <v>0</v>
      </c>
      <c r="K50">
        <v>420.2</v>
      </c>
      <c r="L50">
        <v>0</v>
      </c>
      <c r="M50">
        <v>420.2</v>
      </c>
      <c r="N50">
        <v>0</v>
      </c>
      <c r="O50">
        <v>420.2</v>
      </c>
      <c r="P50">
        <v>0</v>
      </c>
      <c r="Q50">
        <v>420.2</v>
      </c>
      <c r="R50">
        <v>0</v>
      </c>
      <c r="S50">
        <v>420.2</v>
      </c>
      <c r="T50">
        <v>0</v>
      </c>
      <c r="U50">
        <v>420.2</v>
      </c>
      <c r="V50">
        <v>0</v>
      </c>
      <c r="Y50">
        <v>420.2</v>
      </c>
      <c r="Z50">
        <f t="shared" si="0"/>
        <v>0</v>
      </c>
      <c r="AA50">
        <f t="shared" si="1"/>
        <v>0</v>
      </c>
      <c r="AB50">
        <f t="shared" si="2"/>
        <v>0</v>
      </c>
    </row>
    <row r="51" spans="1:28">
      <c r="A51">
        <v>488.7</v>
      </c>
      <c r="B51">
        <v>0</v>
      </c>
      <c r="C51">
        <v>488.7</v>
      </c>
      <c r="D51">
        <v>0</v>
      </c>
      <c r="E51">
        <v>488.7</v>
      </c>
      <c r="F51">
        <v>0</v>
      </c>
      <c r="G51">
        <v>488.7</v>
      </c>
      <c r="H51">
        <v>0</v>
      </c>
      <c r="I51">
        <v>488.7</v>
      </c>
      <c r="J51">
        <v>0</v>
      </c>
      <c r="K51">
        <v>488.7</v>
      </c>
      <c r="L51">
        <v>0</v>
      </c>
      <c r="M51">
        <v>488.7</v>
      </c>
      <c r="N51">
        <v>0</v>
      </c>
      <c r="O51">
        <v>488.7</v>
      </c>
      <c r="P51">
        <v>0</v>
      </c>
      <c r="Q51">
        <v>488.7</v>
      </c>
      <c r="R51">
        <v>0</v>
      </c>
      <c r="S51">
        <v>488.7</v>
      </c>
      <c r="T51">
        <v>0</v>
      </c>
      <c r="U51">
        <v>488.7</v>
      </c>
      <c r="V51">
        <v>0</v>
      </c>
      <c r="Y51">
        <v>488.7</v>
      </c>
      <c r="Z51">
        <f t="shared" si="0"/>
        <v>0</v>
      </c>
      <c r="AA51">
        <f t="shared" si="1"/>
        <v>0</v>
      </c>
      <c r="AB51">
        <f t="shared" si="2"/>
        <v>0</v>
      </c>
    </row>
    <row r="52" spans="1:28">
      <c r="A52">
        <v>568.29999999999995</v>
      </c>
      <c r="B52">
        <v>0</v>
      </c>
      <c r="C52">
        <v>568.29999999999995</v>
      </c>
      <c r="D52">
        <v>0</v>
      </c>
      <c r="E52">
        <v>568.29999999999995</v>
      </c>
      <c r="F52">
        <v>0</v>
      </c>
      <c r="G52">
        <v>568.29999999999995</v>
      </c>
      <c r="H52">
        <v>0</v>
      </c>
      <c r="I52">
        <v>568.29999999999995</v>
      </c>
      <c r="J52">
        <v>0</v>
      </c>
      <c r="K52">
        <v>568.29999999999995</v>
      </c>
      <c r="L52">
        <v>0</v>
      </c>
      <c r="M52">
        <v>568.29999999999995</v>
      </c>
      <c r="N52">
        <v>0</v>
      </c>
      <c r="O52">
        <v>568.29999999999995</v>
      </c>
      <c r="P52">
        <v>0</v>
      </c>
      <c r="Q52">
        <v>568.29999999999995</v>
      </c>
      <c r="R52">
        <v>0</v>
      </c>
      <c r="S52">
        <v>568.29999999999995</v>
      </c>
      <c r="T52">
        <v>0</v>
      </c>
      <c r="U52">
        <v>568.29999999999995</v>
      </c>
      <c r="V52">
        <v>0</v>
      </c>
      <c r="Y52">
        <v>568.29999999999995</v>
      </c>
      <c r="Z52">
        <f t="shared" si="0"/>
        <v>0</v>
      </c>
      <c r="AA52">
        <f t="shared" si="1"/>
        <v>0</v>
      </c>
      <c r="AB52">
        <f t="shared" si="2"/>
        <v>0</v>
      </c>
    </row>
    <row r="53" spans="1:28">
      <c r="A53">
        <v>660.9</v>
      </c>
      <c r="B53">
        <v>0</v>
      </c>
      <c r="C53">
        <v>660.9</v>
      </c>
      <c r="D53">
        <v>0</v>
      </c>
      <c r="E53">
        <v>660.9</v>
      </c>
      <c r="F53">
        <v>0</v>
      </c>
      <c r="G53">
        <v>660.9</v>
      </c>
      <c r="H53">
        <v>0</v>
      </c>
      <c r="I53">
        <v>660.9</v>
      </c>
      <c r="J53">
        <v>0</v>
      </c>
      <c r="K53">
        <v>660.9</v>
      </c>
      <c r="L53">
        <v>0</v>
      </c>
      <c r="M53">
        <v>660.9</v>
      </c>
      <c r="N53">
        <v>0</v>
      </c>
      <c r="O53">
        <v>660.9</v>
      </c>
      <c r="P53">
        <v>0</v>
      </c>
      <c r="Q53">
        <v>660.9</v>
      </c>
      <c r="R53">
        <v>0</v>
      </c>
      <c r="S53">
        <v>660.9</v>
      </c>
      <c r="T53">
        <v>0</v>
      </c>
      <c r="U53">
        <v>660.9</v>
      </c>
      <c r="V53">
        <v>0</v>
      </c>
      <c r="Y53">
        <v>660.9</v>
      </c>
      <c r="Z53">
        <f t="shared" si="0"/>
        <v>0</v>
      </c>
      <c r="AA53">
        <f t="shared" si="1"/>
        <v>0</v>
      </c>
      <c r="AB53">
        <f t="shared" si="2"/>
        <v>0</v>
      </c>
    </row>
    <row r="54" spans="1:28">
      <c r="A54">
        <v>768.5</v>
      </c>
      <c r="B54">
        <v>0</v>
      </c>
      <c r="C54">
        <v>768.5</v>
      </c>
      <c r="D54">
        <v>0</v>
      </c>
      <c r="E54">
        <v>768.5</v>
      </c>
      <c r="F54">
        <v>0</v>
      </c>
      <c r="G54">
        <v>768.5</v>
      </c>
      <c r="H54">
        <v>0</v>
      </c>
      <c r="I54">
        <v>768.5</v>
      </c>
      <c r="J54">
        <v>0</v>
      </c>
      <c r="K54">
        <v>768.5</v>
      </c>
      <c r="L54">
        <v>0</v>
      </c>
      <c r="M54">
        <v>768.5</v>
      </c>
      <c r="N54">
        <v>0</v>
      </c>
      <c r="O54">
        <v>768.5</v>
      </c>
      <c r="P54">
        <v>0</v>
      </c>
      <c r="Q54">
        <v>768.5</v>
      </c>
      <c r="R54">
        <v>0</v>
      </c>
      <c r="S54">
        <v>768.5</v>
      </c>
      <c r="T54">
        <v>0</v>
      </c>
      <c r="U54">
        <v>768.5</v>
      </c>
      <c r="V54">
        <v>0</v>
      </c>
      <c r="Y54">
        <v>768.5</v>
      </c>
      <c r="Z54">
        <f t="shared" si="0"/>
        <v>0</v>
      </c>
      <c r="AA54">
        <f t="shared" si="1"/>
        <v>0</v>
      </c>
      <c r="AB54">
        <f t="shared" si="2"/>
        <v>0</v>
      </c>
    </row>
    <row r="55" spans="1:28">
      <c r="A55">
        <v>893.8</v>
      </c>
      <c r="B55">
        <v>0</v>
      </c>
      <c r="C55">
        <v>893.8</v>
      </c>
      <c r="D55">
        <v>0</v>
      </c>
      <c r="E55">
        <v>893.8</v>
      </c>
      <c r="F55">
        <v>0</v>
      </c>
      <c r="G55">
        <v>893.8</v>
      </c>
      <c r="H55">
        <v>0</v>
      </c>
      <c r="I55">
        <v>893.8</v>
      </c>
      <c r="J55">
        <v>0</v>
      </c>
      <c r="K55">
        <v>893.8</v>
      </c>
      <c r="L55">
        <v>0</v>
      </c>
      <c r="M55">
        <v>893.8</v>
      </c>
      <c r="N55">
        <v>0</v>
      </c>
      <c r="O55">
        <v>893.8</v>
      </c>
      <c r="P55">
        <v>0</v>
      </c>
      <c r="Q55">
        <v>893.8</v>
      </c>
      <c r="R55">
        <v>0</v>
      </c>
      <c r="S55">
        <v>893.8</v>
      </c>
      <c r="T55">
        <v>0</v>
      </c>
      <c r="U55">
        <v>893.8</v>
      </c>
      <c r="V55">
        <v>0</v>
      </c>
      <c r="Y55">
        <v>893.8</v>
      </c>
      <c r="Z55">
        <f t="shared" si="0"/>
        <v>0</v>
      </c>
      <c r="AA55">
        <f t="shared" si="1"/>
        <v>0</v>
      </c>
      <c r="AB55">
        <f t="shared" si="2"/>
        <v>0</v>
      </c>
    </row>
    <row r="56" spans="1:28">
      <c r="A56">
        <v>1039</v>
      </c>
      <c r="B56">
        <v>0</v>
      </c>
      <c r="C56">
        <v>1039</v>
      </c>
      <c r="D56">
        <v>0</v>
      </c>
      <c r="E56">
        <v>1039</v>
      </c>
      <c r="F56">
        <v>0</v>
      </c>
      <c r="G56">
        <v>1039</v>
      </c>
      <c r="H56">
        <v>0</v>
      </c>
      <c r="I56">
        <v>1039</v>
      </c>
      <c r="J56">
        <v>0</v>
      </c>
      <c r="K56">
        <v>1039</v>
      </c>
      <c r="L56">
        <v>0</v>
      </c>
      <c r="M56">
        <v>1039</v>
      </c>
      <c r="N56">
        <v>0</v>
      </c>
      <c r="O56">
        <v>1039</v>
      </c>
      <c r="P56">
        <v>0</v>
      </c>
      <c r="Q56">
        <v>1039</v>
      </c>
      <c r="R56">
        <v>0</v>
      </c>
      <c r="S56">
        <v>1039</v>
      </c>
      <c r="T56">
        <v>0</v>
      </c>
      <c r="U56">
        <v>1039</v>
      </c>
      <c r="V56">
        <v>0</v>
      </c>
      <c r="Y56">
        <v>1039</v>
      </c>
      <c r="Z56">
        <f t="shared" si="0"/>
        <v>0</v>
      </c>
      <c r="AA56">
        <f t="shared" si="1"/>
        <v>0</v>
      </c>
      <c r="AB56">
        <f t="shared" si="2"/>
        <v>0</v>
      </c>
    </row>
    <row r="57" spans="1:28">
      <c r="A57">
        <v>1209</v>
      </c>
      <c r="B57">
        <v>0</v>
      </c>
      <c r="C57">
        <v>1209</v>
      </c>
      <c r="D57">
        <v>0</v>
      </c>
      <c r="E57">
        <v>1209</v>
      </c>
      <c r="F57">
        <v>0</v>
      </c>
      <c r="G57">
        <v>1209</v>
      </c>
      <c r="H57">
        <v>0</v>
      </c>
      <c r="I57">
        <v>1209</v>
      </c>
      <c r="J57">
        <v>0</v>
      </c>
      <c r="K57">
        <v>1209</v>
      </c>
      <c r="L57">
        <v>0</v>
      </c>
      <c r="M57">
        <v>1209</v>
      </c>
      <c r="N57">
        <v>0</v>
      </c>
      <c r="O57">
        <v>1209</v>
      </c>
      <c r="P57">
        <v>0</v>
      </c>
      <c r="Q57">
        <v>1209</v>
      </c>
      <c r="R57">
        <v>0</v>
      </c>
      <c r="S57">
        <v>1209</v>
      </c>
      <c r="T57">
        <v>0</v>
      </c>
      <c r="U57">
        <v>1209</v>
      </c>
      <c r="V57">
        <v>0</v>
      </c>
      <c r="Y57">
        <v>1209</v>
      </c>
      <c r="Z57">
        <f t="shared" si="0"/>
        <v>0</v>
      </c>
      <c r="AA57">
        <f t="shared" si="1"/>
        <v>0</v>
      </c>
      <c r="AB57">
        <f t="shared" si="2"/>
        <v>0</v>
      </c>
    </row>
    <row r="58" spans="1:28">
      <c r="A58">
        <v>1406</v>
      </c>
      <c r="B58">
        <v>0</v>
      </c>
      <c r="C58">
        <v>1406</v>
      </c>
      <c r="D58">
        <v>0</v>
      </c>
      <c r="E58">
        <v>1406</v>
      </c>
      <c r="F58">
        <v>0</v>
      </c>
      <c r="G58">
        <v>1406</v>
      </c>
      <c r="H58">
        <v>0</v>
      </c>
      <c r="I58">
        <v>1406</v>
      </c>
      <c r="J58">
        <v>0</v>
      </c>
      <c r="K58">
        <v>1406</v>
      </c>
      <c r="L58">
        <v>0</v>
      </c>
      <c r="M58">
        <v>1406</v>
      </c>
      <c r="N58">
        <v>0</v>
      </c>
      <c r="O58">
        <v>1406</v>
      </c>
      <c r="P58">
        <v>0</v>
      </c>
      <c r="Q58">
        <v>1406</v>
      </c>
      <c r="R58">
        <v>0</v>
      </c>
      <c r="S58">
        <v>1406</v>
      </c>
      <c r="T58">
        <v>0</v>
      </c>
      <c r="U58">
        <v>1406</v>
      </c>
      <c r="V58">
        <v>0</v>
      </c>
      <c r="Y58">
        <v>1406</v>
      </c>
      <c r="Z58">
        <f t="shared" si="0"/>
        <v>0</v>
      </c>
      <c r="AA58">
        <f t="shared" si="1"/>
        <v>0</v>
      </c>
      <c r="AB58">
        <f t="shared" si="2"/>
        <v>0</v>
      </c>
    </row>
    <row r="59" spans="1:28">
      <c r="A59">
        <v>1635</v>
      </c>
      <c r="B59">
        <v>0</v>
      </c>
      <c r="C59">
        <v>1635</v>
      </c>
      <c r="D59">
        <v>0</v>
      </c>
      <c r="E59">
        <v>1635</v>
      </c>
      <c r="F59">
        <v>0</v>
      </c>
      <c r="G59">
        <v>1635</v>
      </c>
      <c r="H59">
        <v>0</v>
      </c>
      <c r="I59">
        <v>1635</v>
      </c>
      <c r="J59">
        <v>0</v>
      </c>
      <c r="K59">
        <v>1635</v>
      </c>
      <c r="L59">
        <v>0</v>
      </c>
      <c r="M59">
        <v>1635</v>
      </c>
      <c r="N59">
        <v>0</v>
      </c>
      <c r="O59">
        <v>1635</v>
      </c>
      <c r="P59">
        <v>0</v>
      </c>
      <c r="Q59">
        <v>1635</v>
      </c>
      <c r="R59">
        <v>0</v>
      </c>
      <c r="S59">
        <v>1635</v>
      </c>
      <c r="T59">
        <v>0</v>
      </c>
      <c r="U59">
        <v>1635</v>
      </c>
      <c r="V59">
        <v>0</v>
      </c>
      <c r="Y59">
        <v>1635</v>
      </c>
      <c r="Z59">
        <f t="shared" si="0"/>
        <v>0</v>
      </c>
      <c r="AA59">
        <f t="shared" si="1"/>
        <v>0</v>
      </c>
      <c r="AB59">
        <f t="shared" si="2"/>
        <v>0</v>
      </c>
    </row>
    <row r="60" spans="1:28">
      <c r="A60">
        <v>1901</v>
      </c>
      <c r="B60">
        <v>0</v>
      </c>
      <c r="C60">
        <v>1901</v>
      </c>
      <c r="D60">
        <v>0</v>
      </c>
      <c r="E60">
        <v>1901</v>
      </c>
      <c r="F60">
        <v>0</v>
      </c>
      <c r="G60">
        <v>1901</v>
      </c>
      <c r="H60">
        <v>0</v>
      </c>
      <c r="I60">
        <v>1901</v>
      </c>
      <c r="J60">
        <v>0</v>
      </c>
      <c r="K60">
        <v>1901</v>
      </c>
      <c r="L60">
        <v>0</v>
      </c>
      <c r="M60">
        <v>1901</v>
      </c>
      <c r="N60">
        <v>0</v>
      </c>
      <c r="O60">
        <v>1901</v>
      </c>
      <c r="P60">
        <v>0</v>
      </c>
      <c r="Q60">
        <v>1901</v>
      </c>
      <c r="R60">
        <v>0</v>
      </c>
      <c r="S60">
        <v>1901</v>
      </c>
      <c r="T60">
        <v>0</v>
      </c>
      <c r="U60">
        <v>1901</v>
      </c>
      <c r="V60">
        <v>0</v>
      </c>
      <c r="Y60">
        <v>1901</v>
      </c>
      <c r="Z60">
        <f t="shared" si="0"/>
        <v>0</v>
      </c>
      <c r="AA60">
        <f t="shared" si="1"/>
        <v>0</v>
      </c>
      <c r="AB60">
        <f t="shared" si="2"/>
        <v>0</v>
      </c>
    </row>
    <row r="61" spans="1:28">
      <c r="A61">
        <v>2211</v>
      </c>
      <c r="B61">
        <v>0</v>
      </c>
      <c r="C61">
        <v>2211</v>
      </c>
      <c r="D61">
        <v>0</v>
      </c>
      <c r="E61">
        <v>2211</v>
      </c>
      <c r="F61">
        <v>0</v>
      </c>
      <c r="G61">
        <v>2211</v>
      </c>
      <c r="H61">
        <v>0</v>
      </c>
      <c r="I61">
        <v>2211</v>
      </c>
      <c r="J61">
        <v>0</v>
      </c>
      <c r="K61">
        <v>2211</v>
      </c>
      <c r="L61">
        <v>0</v>
      </c>
      <c r="M61">
        <v>2211</v>
      </c>
      <c r="N61">
        <v>0</v>
      </c>
      <c r="O61">
        <v>2211</v>
      </c>
      <c r="P61">
        <v>0</v>
      </c>
      <c r="Q61">
        <v>2211</v>
      </c>
      <c r="R61">
        <v>0</v>
      </c>
      <c r="S61">
        <v>2211</v>
      </c>
      <c r="T61">
        <v>0</v>
      </c>
      <c r="U61">
        <v>2211</v>
      </c>
      <c r="V61">
        <v>0</v>
      </c>
      <c r="Y61">
        <v>2211</v>
      </c>
      <c r="Z61">
        <f t="shared" si="0"/>
        <v>0</v>
      </c>
      <c r="AA61">
        <f t="shared" si="1"/>
        <v>0</v>
      </c>
      <c r="AB61">
        <f t="shared" si="2"/>
        <v>0</v>
      </c>
    </row>
    <row r="62" spans="1:28">
      <c r="A62">
        <v>2571</v>
      </c>
      <c r="B62">
        <v>0</v>
      </c>
      <c r="C62">
        <v>2571</v>
      </c>
      <c r="D62">
        <v>0</v>
      </c>
      <c r="E62">
        <v>2571</v>
      </c>
      <c r="F62">
        <v>0</v>
      </c>
      <c r="G62">
        <v>2571</v>
      </c>
      <c r="H62">
        <v>0</v>
      </c>
      <c r="I62">
        <v>2571</v>
      </c>
      <c r="J62">
        <v>0</v>
      </c>
      <c r="K62">
        <v>2571</v>
      </c>
      <c r="L62">
        <v>0</v>
      </c>
      <c r="M62">
        <v>2571</v>
      </c>
      <c r="N62">
        <v>0</v>
      </c>
      <c r="O62">
        <v>2571</v>
      </c>
      <c r="P62">
        <v>0</v>
      </c>
      <c r="Q62">
        <v>2571</v>
      </c>
      <c r="R62">
        <v>0</v>
      </c>
      <c r="S62">
        <v>2571</v>
      </c>
      <c r="T62">
        <v>0</v>
      </c>
      <c r="U62">
        <v>2571</v>
      </c>
      <c r="V62">
        <v>0</v>
      </c>
      <c r="Y62">
        <v>2571</v>
      </c>
      <c r="Z62">
        <f t="shared" si="0"/>
        <v>0</v>
      </c>
      <c r="AA62">
        <f t="shared" si="1"/>
        <v>0</v>
      </c>
      <c r="AB62">
        <f t="shared" si="2"/>
        <v>0</v>
      </c>
    </row>
    <row r="63" spans="1:28">
      <c r="A63">
        <v>2990</v>
      </c>
      <c r="B63">
        <v>0</v>
      </c>
      <c r="C63">
        <v>2990</v>
      </c>
      <c r="D63">
        <v>0</v>
      </c>
      <c r="E63">
        <v>2990</v>
      </c>
      <c r="F63">
        <v>0</v>
      </c>
      <c r="G63">
        <v>2990</v>
      </c>
      <c r="H63">
        <v>0</v>
      </c>
      <c r="I63">
        <v>2990</v>
      </c>
      <c r="J63">
        <v>0</v>
      </c>
      <c r="K63">
        <v>2990</v>
      </c>
      <c r="L63">
        <v>0</v>
      </c>
      <c r="M63">
        <v>2990</v>
      </c>
      <c r="N63">
        <v>0</v>
      </c>
      <c r="O63">
        <v>2990</v>
      </c>
      <c r="P63">
        <v>0</v>
      </c>
      <c r="Q63">
        <v>2990</v>
      </c>
      <c r="R63">
        <v>0</v>
      </c>
      <c r="S63">
        <v>2990</v>
      </c>
      <c r="T63">
        <v>0</v>
      </c>
      <c r="U63">
        <v>2990</v>
      </c>
      <c r="V63">
        <v>0</v>
      </c>
      <c r="Y63">
        <v>2990</v>
      </c>
      <c r="Z63">
        <f t="shared" si="0"/>
        <v>0</v>
      </c>
      <c r="AA63">
        <f t="shared" si="1"/>
        <v>0</v>
      </c>
      <c r="AB63">
        <f t="shared" si="2"/>
        <v>0</v>
      </c>
    </row>
    <row r="64" spans="1:28">
      <c r="A64">
        <v>3477</v>
      </c>
      <c r="B64">
        <v>0</v>
      </c>
      <c r="C64">
        <v>3477</v>
      </c>
      <c r="D64">
        <v>0</v>
      </c>
      <c r="E64">
        <v>3477</v>
      </c>
      <c r="F64">
        <v>0</v>
      </c>
      <c r="G64">
        <v>3477</v>
      </c>
      <c r="H64">
        <v>0</v>
      </c>
      <c r="I64">
        <v>3477</v>
      </c>
      <c r="J64">
        <v>0</v>
      </c>
      <c r="K64">
        <v>3477</v>
      </c>
      <c r="L64">
        <v>0</v>
      </c>
      <c r="M64">
        <v>3477</v>
      </c>
      <c r="N64">
        <v>0</v>
      </c>
      <c r="O64">
        <v>3477</v>
      </c>
      <c r="P64">
        <v>0</v>
      </c>
      <c r="Q64">
        <v>3477</v>
      </c>
      <c r="R64">
        <v>0</v>
      </c>
      <c r="S64">
        <v>3477</v>
      </c>
      <c r="T64">
        <v>0</v>
      </c>
      <c r="U64">
        <v>3477</v>
      </c>
      <c r="V64">
        <v>0</v>
      </c>
      <c r="Y64">
        <v>3477</v>
      </c>
      <c r="Z64">
        <f t="shared" si="0"/>
        <v>0</v>
      </c>
      <c r="AA64">
        <f t="shared" si="1"/>
        <v>0</v>
      </c>
      <c r="AB64">
        <f t="shared" si="2"/>
        <v>0</v>
      </c>
    </row>
    <row r="65" spans="1:28">
      <c r="A65">
        <v>4043</v>
      </c>
      <c r="B65">
        <v>0</v>
      </c>
      <c r="C65">
        <v>4043</v>
      </c>
      <c r="D65">
        <v>0</v>
      </c>
      <c r="E65">
        <v>4043</v>
      </c>
      <c r="F65">
        <v>0</v>
      </c>
      <c r="G65">
        <v>4043</v>
      </c>
      <c r="H65">
        <v>0</v>
      </c>
      <c r="I65">
        <v>4043</v>
      </c>
      <c r="J65">
        <v>0</v>
      </c>
      <c r="K65">
        <v>4043</v>
      </c>
      <c r="L65">
        <v>0</v>
      </c>
      <c r="M65">
        <v>4043</v>
      </c>
      <c r="N65">
        <v>0</v>
      </c>
      <c r="O65">
        <v>4043</v>
      </c>
      <c r="P65">
        <v>0</v>
      </c>
      <c r="Q65">
        <v>4043</v>
      </c>
      <c r="R65">
        <v>0</v>
      </c>
      <c r="S65">
        <v>4043</v>
      </c>
      <c r="T65">
        <v>0</v>
      </c>
      <c r="U65">
        <v>4043</v>
      </c>
      <c r="V65">
        <v>0</v>
      </c>
      <c r="Y65">
        <v>4043</v>
      </c>
      <c r="Z65">
        <f t="shared" si="0"/>
        <v>0</v>
      </c>
      <c r="AA65">
        <f t="shared" si="1"/>
        <v>0</v>
      </c>
      <c r="AB65">
        <f t="shared" si="2"/>
        <v>0</v>
      </c>
    </row>
    <row r="66" spans="1:28">
      <c r="A66">
        <v>4702</v>
      </c>
      <c r="B66">
        <v>0</v>
      </c>
      <c r="C66">
        <v>4702</v>
      </c>
      <c r="D66">
        <v>0</v>
      </c>
      <c r="E66">
        <v>4702</v>
      </c>
      <c r="F66">
        <v>0</v>
      </c>
      <c r="G66">
        <v>4702</v>
      </c>
      <c r="H66">
        <v>0</v>
      </c>
      <c r="I66">
        <v>4702</v>
      </c>
      <c r="J66">
        <v>0</v>
      </c>
      <c r="K66">
        <v>4702</v>
      </c>
      <c r="L66">
        <v>0</v>
      </c>
      <c r="M66">
        <v>4702</v>
      </c>
      <c r="N66">
        <v>0</v>
      </c>
      <c r="O66">
        <v>4702</v>
      </c>
      <c r="P66">
        <v>0</v>
      </c>
      <c r="Q66">
        <v>4702</v>
      </c>
      <c r="R66">
        <v>0</v>
      </c>
      <c r="S66">
        <v>4702</v>
      </c>
      <c r="T66">
        <v>0</v>
      </c>
      <c r="U66">
        <v>4702</v>
      </c>
      <c r="V66">
        <v>0</v>
      </c>
      <c r="Y66">
        <v>4702</v>
      </c>
      <c r="Z66">
        <f t="shared" si="0"/>
        <v>0</v>
      </c>
      <c r="AA66">
        <f t="shared" si="1"/>
        <v>0</v>
      </c>
      <c r="AB66">
        <f t="shared" si="2"/>
        <v>0</v>
      </c>
    </row>
    <row r="67" spans="1:28">
      <c r="A67">
        <v>5468</v>
      </c>
      <c r="B67">
        <v>0</v>
      </c>
      <c r="C67">
        <v>5468</v>
      </c>
      <c r="D67">
        <v>0</v>
      </c>
      <c r="E67">
        <v>5468</v>
      </c>
      <c r="F67">
        <v>0</v>
      </c>
      <c r="G67">
        <v>5468</v>
      </c>
      <c r="H67">
        <v>0</v>
      </c>
      <c r="I67">
        <v>5468</v>
      </c>
      <c r="J67">
        <v>0</v>
      </c>
      <c r="K67">
        <v>5468</v>
      </c>
      <c r="L67">
        <v>0</v>
      </c>
      <c r="M67">
        <v>5468</v>
      </c>
      <c r="N67">
        <v>0</v>
      </c>
      <c r="O67">
        <v>5468</v>
      </c>
      <c r="P67">
        <v>0</v>
      </c>
      <c r="Q67">
        <v>5468</v>
      </c>
      <c r="R67">
        <v>0</v>
      </c>
      <c r="S67">
        <v>5468</v>
      </c>
      <c r="T67">
        <v>0</v>
      </c>
      <c r="U67">
        <v>5468</v>
      </c>
      <c r="V67">
        <v>0</v>
      </c>
      <c r="Y67">
        <v>5468</v>
      </c>
      <c r="Z67">
        <f>AVERAGE(B67,D67,F67)</f>
        <v>0</v>
      </c>
      <c r="AA67">
        <f>AVERAGE(H67,J67,L67)</f>
        <v>0</v>
      </c>
      <c r="AB67">
        <f>AVERAGE(N67,P67,V67)</f>
        <v>0</v>
      </c>
    </row>
    <row r="68" spans="1:28">
      <c r="A68">
        <v>6358</v>
      </c>
      <c r="B68">
        <v>0</v>
      </c>
      <c r="C68">
        <v>6358</v>
      </c>
      <c r="D68">
        <v>0</v>
      </c>
      <c r="E68">
        <v>6358</v>
      </c>
      <c r="F68">
        <v>0</v>
      </c>
      <c r="G68">
        <v>6358</v>
      </c>
      <c r="H68">
        <v>0</v>
      </c>
      <c r="I68">
        <v>6358</v>
      </c>
      <c r="J68">
        <v>0</v>
      </c>
      <c r="K68">
        <v>6358</v>
      </c>
      <c r="L68">
        <v>0</v>
      </c>
      <c r="M68">
        <v>6358</v>
      </c>
      <c r="N68">
        <v>0</v>
      </c>
      <c r="O68">
        <v>6358</v>
      </c>
      <c r="P68">
        <v>0</v>
      </c>
      <c r="Q68">
        <v>6358</v>
      </c>
      <c r="R68">
        <v>0</v>
      </c>
      <c r="S68">
        <v>6358</v>
      </c>
      <c r="T68">
        <v>0</v>
      </c>
      <c r="U68">
        <v>6358</v>
      </c>
      <c r="V68">
        <v>0</v>
      </c>
      <c r="Y68">
        <v>6358</v>
      </c>
      <c r="Z68">
        <f>AVERAGE(B68,D68,F68)</f>
        <v>0</v>
      </c>
      <c r="AA68">
        <f>AVERAGE(H68,J68,L68)</f>
        <v>0</v>
      </c>
      <c r="AB68">
        <f>AVERAGE(N68,P68,V68)</f>
        <v>0</v>
      </c>
    </row>
    <row r="69" spans="1:28">
      <c r="A69">
        <v>7394</v>
      </c>
      <c r="B69">
        <v>0</v>
      </c>
      <c r="C69">
        <v>7394</v>
      </c>
      <c r="D69">
        <v>0</v>
      </c>
      <c r="E69">
        <v>7394</v>
      </c>
      <c r="F69">
        <v>0</v>
      </c>
      <c r="G69">
        <v>7394</v>
      </c>
      <c r="H69">
        <v>0</v>
      </c>
      <c r="I69">
        <v>7394</v>
      </c>
      <c r="J69">
        <v>0</v>
      </c>
      <c r="K69">
        <v>7394</v>
      </c>
      <c r="L69">
        <v>0</v>
      </c>
      <c r="M69">
        <v>7394</v>
      </c>
      <c r="N69">
        <v>0</v>
      </c>
      <c r="O69">
        <v>7394</v>
      </c>
      <c r="P69">
        <v>0</v>
      </c>
      <c r="Q69">
        <v>7394</v>
      </c>
      <c r="R69">
        <v>0</v>
      </c>
      <c r="S69">
        <v>7394</v>
      </c>
      <c r="T69">
        <v>0</v>
      </c>
      <c r="U69">
        <v>7394</v>
      </c>
      <c r="V69">
        <v>0</v>
      </c>
      <c r="Y69">
        <v>7394</v>
      </c>
      <c r="Z69">
        <f>AVERAGE(B69,D69,F69)</f>
        <v>0</v>
      </c>
      <c r="AA69">
        <f>AVERAGE(H69,J69,L69)</f>
        <v>0</v>
      </c>
      <c r="AB69">
        <f>AVERAGE(N69,P69,V69)</f>
        <v>0</v>
      </c>
    </row>
    <row r="70" spans="1:28">
      <c r="A70">
        <v>8599</v>
      </c>
      <c r="B70">
        <v>0</v>
      </c>
      <c r="C70">
        <v>8599</v>
      </c>
      <c r="D70">
        <v>0</v>
      </c>
      <c r="E70">
        <v>8599</v>
      </c>
      <c r="F70">
        <v>0</v>
      </c>
      <c r="G70">
        <v>8599</v>
      </c>
      <c r="H70">
        <v>0</v>
      </c>
      <c r="I70">
        <v>8599</v>
      </c>
      <c r="J70">
        <v>0</v>
      </c>
      <c r="K70">
        <v>8599</v>
      </c>
      <c r="L70">
        <v>0</v>
      </c>
      <c r="M70">
        <v>8599</v>
      </c>
      <c r="N70">
        <v>0</v>
      </c>
      <c r="O70">
        <v>8599</v>
      </c>
      <c r="P70">
        <v>0</v>
      </c>
      <c r="Q70">
        <v>8599</v>
      </c>
      <c r="R70">
        <v>0</v>
      </c>
      <c r="S70">
        <v>8599</v>
      </c>
      <c r="T70">
        <v>0</v>
      </c>
      <c r="U70">
        <v>8599</v>
      </c>
      <c r="V70">
        <v>0</v>
      </c>
      <c r="Y70">
        <v>8599</v>
      </c>
      <c r="Z70">
        <f>AVERAGE(B70,D70,F70)</f>
        <v>0</v>
      </c>
      <c r="AA70">
        <f>AVERAGE(H70,J70,L70)</f>
        <v>0</v>
      </c>
      <c r="AB70">
        <f>AVERAGE(N70,P70,V70)</f>
        <v>0</v>
      </c>
    </row>
    <row r="71" spans="1:28">
      <c r="A71" s="1">
        <v>10000</v>
      </c>
      <c r="B71">
        <v>0</v>
      </c>
      <c r="C71" s="1">
        <v>10000</v>
      </c>
      <c r="D71">
        <v>0</v>
      </c>
      <c r="E71" s="1">
        <v>10000</v>
      </c>
      <c r="F71">
        <v>0</v>
      </c>
      <c r="G71" s="1">
        <v>10000</v>
      </c>
      <c r="H71">
        <v>0</v>
      </c>
      <c r="I71" s="1">
        <v>10000</v>
      </c>
      <c r="J71">
        <v>0</v>
      </c>
      <c r="K71" s="1">
        <v>10000</v>
      </c>
      <c r="L71">
        <v>0</v>
      </c>
      <c r="M71" s="1">
        <v>10000</v>
      </c>
      <c r="N71">
        <v>0</v>
      </c>
      <c r="O71" s="1">
        <v>10000</v>
      </c>
      <c r="P71">
        <v>0</v>
      </c>
      <c r="Q71" s="1">
        <v>10000</v>
      </c>
      <c r="R71">
        <v>0</v>
      </c>
      <c r="S71" s="1">
        <v>10000</v>
      </c>
      <c r="T71">
        <v>0</v>
      </c>
      <c r="U71" s="1">
        <v>10000</v>
      </c>
      <c r="V71">
        <v>0</v>
      </c>
      <c r="Y71">
        <v>10000</v>
      </c>
      <c r="Z71">
        <f>AVERAGE(B71,D71,F71)</f>
        <v>0</v>
      </c>
      <c r="AA71">
        <f>AVERAGE(H71,J71,L71)</f>
        <v>0</v>
      </c>
      <c r="AB71">
        <f>AVERAGE(N71,P71,V71)</f>
        <v>0</v>
      </c>
    </row>
    <row r="73" spans="1:28">
      <c r="E73" t="s">
        <v>90</v>
      </c>
      <c r="L73" t="s">
        <v>99</v>
      </c>
      <c r="M73" t="s">
        <v>100</v>
      </c>
      <c r="N73" t="s">
        <v>101</v>
      </c>
    </row>
    <row r="74" spans="1:28" ht="47.25">
      <c r="E74" s="2" t="s">
        <v>102</v>
      </c>
      <c r="F74" s="2">
        <v>230.6</v>
      </c>
      <c r="G74" s="2">
        <v>1.1930000000000001</v>
      </c>
      <c r="H74" s="2">
        <v>0.51729999999999998</v>
      </c>
      <c r="I74" s="2">
        <v>229.3</v>
      </c>
      <c r="J74" s="2">
        <v>231.5</v>
      </c>
      <c r="L74" s="2">
        <v>231.5</v>
      </c>
      <c r="M74" s="2">
        <v>231.1</v>
      </c>
      <c r="N74" s="2">
        <v>229.3</v>
      </c>
    </row>
    <row r="75" spans="1:28" ht="47.25">
      <c r="E75" s="2" t="s">
        <v>103</v>
      </c>
      <c r="F75" s="2">
        <v>0.1991</v>
      </c>
      <c r="G75" s="2">
        <v>1.3480000000000001E-2</v>
      </c>
      <c r="H75" s="2">
        <v>6.77</v>
      </c>
      <c r="I75" s="2">
        <v>0.18379999999999999</v>
      </c>
      <c r="J75" s="2">
        <v>0.2092</v>
      </c>
      <c r="L75" s="2">
        <v>245.4</v>
      </c>
      <c r="M75" s="2">
        <v>275.60000000000002</v>
      </c>
      <c r="N75" s="2">
        <v>251.8</v>
      </c>
    </row>
    <row r="76" spans="1:28" ht="63">
      <c r="E76" s="2" t="s">
        <v>104</v>
      </c>
      <c r="F76" s="2">
        <v>226.2</v>
      </c>
      <c r="G76" s="2">
        <v>0.67569999999999997</v>
      </c>
      <c r="H76" s="2">
        <v>0.29859999999999998</v>
      </c>
      <c r="I76" s="2">
        <v>225.5</v>
      </c>
      <c r="J76" s="2">
        <v>226.9</v>
      </c>
      <c r="L76" s="2">
        <v>432.5</v>
      </c>
      <c r="M76" s="2">
        <v>396.7</v>
      </c>
      <c r="N76" s="2">
        <v>421.3</v>
      </c>
    </row>
    <row r="77" spans="1:28" ht="63">
      <c r="E77" s="2" t="s">
        <v>105</v>
      </c>
      <c r="F77" s="2">
        <v>100</v>
      </c>
      <c r="G77" s="2">
        <v>0</v>
      </c>
      <c r="H77" s="2">
        <v>0</v>
      </c>
      <c r="I77" s="2">
        <v>100</v>
      </c>
      <c r="J77" s="2">
        <v>100</v>
      </c>
    </row>
    <row r="79" spans="1:28">
      <c r="E79" s="2" t="s">
        <v>91</v>
      </c>
    </row>
    <row r="80" spans="1:28" ht="47.25">
      <c r="E80" s="2" t="s">
        <v>102</v>
      </c>
      <c r="F80" s="2">
        <v>283.60000000000002</v>
      </c>
      <c r="G80" s="2">
        <v>38.380000000000003</v>
      </c>
      <c r="H80" s="2">
        <v>13.53</v>
      </c>
      <c r="I80" s="2">
        <v>249.8</v>
      </c>
      <c r="J80" s="2">
        <v>325.3</v>
      </c>
    </row>
    <row r="81" spans="5:10" ht="47.25">
      <c r="E81" s="2" t="s">
        <v>103</v>
      </c>
      <c r="F81" s="2">
        <v>0.32619999999999999</v>
      </c>
      <c r="G81" s="2">
        <v>0.22869999999999999</v>
      </c>
      <c r="H81" s="2">
        <v>70.09</v>
      </c>
      <c r="I81" s="2">
        <v>7.0430000000000006E-2</v>
      </c>
      <c r="J81" s="2">
        <v>0.51080000000000003</v>
      </c>
    </row>
    <row r="82" spans="5:10" ht="63">
      <c r="E82" s="2" t="s">
        <v>104</v>
      </c>
      <c r="F82" s="2">
        <v>224.8</v>
      </c>
      <c r="G82" s="2">
        <v>34.58</v>
      </c>
      <c r="H82" s="2">
        <v>15.39</v>
      </c>
      <c r="I82" s="2">
        <v>195.6</v>
      </c>
      <c r="J82" s="2">
        <v>263</v>
      </c>
    </row>
    <row r="83" spans="5:10" ht="63">
      <c r="E83" s="2" t="s">
        <v>105</v>
      </c>
      <c r="F83" s="2">
        <v>100</v>
      </c>
      <c r="G83" s="2">
        <v>0</v>
      </c>
      <c r="H83" s="2">
        <v>0</v>
      </c>
      <c r="I83" s="2">
        <v>100</v>
      </c>
      <c r="J83" s="2">
        <v>100</v>
      </c>
    </row>
    <row r="85" spans="5:10">
      <c r="E85" s="2" t="s">
        <v>92</v>
      </c>
    </row>
    <row r="86" spans="5:10" ht="47.25">
      <c r="E86" s="2" t="s">
        <v>102</v>
      </c>
      <c r="F86" s="2">
        <v>416.8</v>
      </c>
      <c r="G86" s="2">
        <v>18.329999999999998</v>
      </c>
      <c r="H86" s="2">
        <v>4.3970000000000002</v>
      </c>
      <c r="I86" s="2">
        <v>396.7</v>
      </c>
      <c r="J86" s="2">
        <v>432.5</v>
      </c>
    </row>
    <row r="87" spans="5:10" ht="47.25">
      <c r="E87" s="2" t="s">
        <v>103</v>
      </c>
      <c r="F87" s="2">
        <v>0.50849999999999995</v>
      </c>
      <c r="G87" s="2">
        <v>7.0830000000000004E-2</v>
      </c>
      <c r="H87" s="2">
        <v>13.93</v>
      </c>
      <c r="I87" s="2">
        <v>0.43759999999999999</v>
      </c>
      <c r="J87" s="2">
        <v>0.57930000000000004</v>
      </c>
    </row>
    <row r="88" spans="5:10" ht="63">
      <c r="E88" s="2" t="s">
        <v>104</v>
      </c>
      <c r="F88" s="2">
        <v>235.1</v>
      </c>
      <c r="G88" s="2">
        <v>10.029999999999999</v>
      </c>
      <c r="H88" s="2">
        <v>4.2679999999999998</v>
      </c>
      <c r="I88" s="2">
        <v>223.5</v>
      </c>
      <c r="J88" s="2">
        <v>241.7</v>
      </c>
    </row>
    <row r="89" spans="5:10" ht="63">
      <c r="E89" s="2" t="s">
        <v>105</v>
      </c>
      <c r="F89" s="2">
        <v>100</v>
      </c>
      <c r="G89" s="2">
        <v>0</v>
      </c>
      <c r="H89" s="2">
        <v>0</v>
      </c>
      <c r="I89" s="2">
        <v>100</v>
      </c>
      <c r="J89" s="2">
        <v>100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Frank Li</dc:creator>
  <cp:keywords/>
  <dc:description/>
  <cp:lastModifiedBy>Frank Li</cp:lastModifiedBy>
  <cp:revision/>
  <dcterms:created xsi:type="dcterms:W3CDTF">2025-05-22T20:45:15Z</dcterms:created>
  <dcterms:modified xsi:type="dcterms:W3CDTF">2026-09-10T16:27:26Z</dcterms:modified>
  <cp:category/>
  <cp:contentStatus/>
</cp:coreProperties>
</file>